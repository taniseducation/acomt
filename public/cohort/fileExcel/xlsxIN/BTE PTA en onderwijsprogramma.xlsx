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201"/>
  <workbookPr codeName="ThisWorkbook"/>
  <xr:revisionPtr revIDLastSave="2" documentId="11_0563B789937AA8DE0EDD52163DFFCD4BACC5E33E" xr6:coauthVersionLast="47" xr6:coauthVersionMax="47" xr10:uidLastSave="{FBA9BF74-B774-41B3-B632-2B381A59E8CB}"/>
  <workbookProtection lockStructure="1"/>
  <bookViews>
    <workbookView xWindow="0" yWindow="0" windowWidth="0" windowHeight="0" firstSheet="1" activeTab="2" xr2:uid="{00000000-000D-0000-FFFF-FFFF00000000}"/>
  </bookViews>
  <sheets>
    <sheet name="instellingen" sheetId="1" r:id="rId1"/>
    <sheet name="instructie" sheetId="2" r:id="rId2"/>
    <sheet name="M 2020" sheetId="3" r:id="rId3"/>
    <sheet name="M 2019" sheetId="4" r:id="rId4"/>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5" i="4" l="1"/>
  <c r="AD35" i="4"/>
  <c r="AC35" i="4"/>
  <c r="AB35" i="4"/>
  <c r="AA35" i="4"/>
  <c r="Z35" i="4"/>
  <c r="Y35" i="4"/>
  <c r="X35" i="4"/>
  <c r="W35" i="4"/>
  <c r="V35" i="4"/>
  <c r="U35" i="4"/>
  <c r="T35" i="4"/>
  <c r="S35" i="4"/>
  <c r="R35" i="4"/>
  <c r="AF35" i="4" s="1"/>
  <c r="AE34" i="4"/>
  <c r="AD34" i="4"/>
  <c r="AC34" i="4"/>
  <c r="AB34" i="4"/>
  <c r="AA34" i="4"/>
  <c r="Z34" i="4"/>
  <c r="Y34" i="4"/>
  <c r="X34" i="4"/>
  <c r="W34" i="4"/>
  <c r="V34" i="4"/>
  <c r="U34" i="4"/>
  <c r="T34" i="4"/>
  <c r="S34" i="4"/>
  <c r="R34" i="4"/>
  <c r="AF34" i="4" s="1"/>
  <c r="AE33" i="4"/>
  <c r="AD33" i="4"/>
  <c r="AC33" i="4"/>
  <c r="AB33" i="4"/>
  <c r="AA33" i="4"/>
  <c r="Z33" i="4"/>
  <c r="Y33" i="4"/>
  <c r="X33" i="4"/>
  <c r="W33" i="4"/>
  <c r="V33" i="4"/>
  <c r="U33" i="4"/>
  <c r="T33" i="4"/>
  <c r="S33" i="4"/>
  <c r="R33" i="4"/>
  <c r="AF33" i="4" s="1"/>
  <c r="AE32" i="4"/>
  <c r="AD32" i="4"/>
  <c r="AC32" i="4"/>
  <c r="AB32" i="4"/>
  <c r="AA32" i="4"/>
  <c r="Z32" i="4"/>
  <c r="Y32" i="4"/>
  <c r="X32" i="4"/>
  <c r="W32" i="4"/>
  <c r="V32" i="4"/>
  <c r="U32" i="4"/>
  <c r="T32" i="4"/>
  <c r="S32" i="4"/>
  <c r="R32" i="4"/>
  <c r="AF32" i="4" s="1"/>
  <c r="AE31" i="4"/>
  <c r="AD31" i="4"/>
  <c r="AC31" i="4"/>
  <c r="AB31" i="4"/>
  <c r="AA31" i="4"/>
  <c r="Z31" i="4"/>
  <c r="Y31" i="4"/>
  <c r="X31" i="4"/>
  <c r="W31" i="4"/>
  <c r="V31" i="4"/>
  <c r="U31" i="4"/>
  <c r="T31" i="4"/>
  <c r="S31" i="4"/>
  <c r="R31" i="4"/>
  <c r="AF31" i="4" s="1"/>
  <c r="AE30" i="4"/>
  <c r="AD30" i="4"/>
  <c r="AC30" i="4"/>
  <c r="AB30" i="4"/>
  <c r="AA30" i="4"/>
  <c r="Z30" i="4"/>
  <c r="Y30" i="4"/>
  <c r="X30" i="4"/>
  <c r="W30" i="4"/>
  <c r="V30" i="4"/>
  <c r="U30" i="4"/>
  <c r="T30" i="4"/>
  <c r="S30" i="4"/>
  <c r="R30" i="4"/>
  <c r="AF30" i="4" s="1"/>
  <c r="AE23" i="4"/>
  <c r="AD23" i="4"/>
  <c r="AC23" i="4"/>
  <c r="AB23" i="4"/>
  <c r="AA23" i="4"/>
  <c r="Z23" i="4"/>
  <c r="Y23" i="4"/>
  <c r="X23" i="4"/>
  <c r="W23" i="4"/>
  <c r="V23" i="4"/>
  <c r="U23" i="4"/>
  <c r="T23" i="4"/>
  <c r="S23" i="4"/>
  <c r="R23" i="4"/>
  <c r="AF23" i="4" s="1"/>
  <c r="AE22" i="4"/>
  <c r="AD22" i="4"/>
  <c r="AC22" i="4"/>
  <c r="AB22" i="4"/>
  <c r="AA22" i="4"/>
  <c r="Z22" i="4"/>
  <c r="Y22" i="4"/>
  <c r="X22" i="4"/>
  <c r="W22" i="4"/>
  <c r="V22" i="4"/>
  <c r="U22" i="4"/>
  <c r="T22" i="4"/>
  <c r="S22" i="4"/>
  <c r="R22" i="4"/>
  <c r="AF22" i="4" s="1"/>
  <c r="AE21" i="4"/>
  <c r="AD21" i="4"/>
  <c r="AC21" i="4"/>
  <c r="AB21" i="4"/>
  <c r="AA21" i="4"/>
  <c r="Z21" i="4"/>
  <c r="Y21" i="4"/>
  <c r="X21" i="4"/>
  <c r="W21" i="4"/>
  <c r="V21" i="4"/>
  <c r="U21" i="4"/>
  <c r="T21" i="4"/>
  <c r="S21" i="4"/>
  <c r="R21" i="4"/>
  <c r="AF21" i="4" s="1"/>
  <c r="AE20" i="4"/>
  <c r="AD20" i="4"/>
  <c r="AC20" i="4"/>
  <c r="AB20" i="4"/>
  <c r="AA20" i="4"/>
  <c r="Z20" i="4"/>
  <c r="Y20" i="4"/>
  <c r="X20" i="4"/>
  <c r="W20" i="4"/>
  <c r="V20" i="4"/>
  <c r="U20" i="4"/>
  <c r="T20" i="4"/>
  <c r="S20" i="4"/>
  <c r="R20" i="4"/>
  <c r="AF20" i="4" s="1"/>
  <c r="AE19" i="4"/>
  <c r="AD19" i="4"/>
  <c r="AC19" i="4"/>
  <c r="AB19" i="4"/>
  <c r="AA19" i="4"/>
  <c r="Z19" i="4"/>
  <c r="Y19" i="4"/>
  <c r="X19" i="4"/>
  <c r="W19" i="4"/>
  <c r="V19" i="4"/>
  <c r="U19" i="4"/>
  <c r="T19" i="4"/>
  <c r="S19" i="4"/>
  <c r="R19" i="4"/>
  <c r="AF19" i="4" s="1"/>
  <c r="AE18" i="4"/>
  <c r="AD18" i="4"/>
  <c r="AC18" i="4"/>
  <c r="AB18" i="4"/>
  <c r="AA18" i="4"/>
  <c r="Z18" i="4"/>
  <c r="Y18" i="4"/>
  <c r="X18" i="4"/>
  <c r="W18" i="4"/>
  <c r="V18" i="4"/>
  <c r="U18" i="4"/>
  <c r="T18" i="4"/>
  <c r="S18" i="4"/>
  <c r="R18" i="4"/>
  <c r="AF18" i="4" s="1"/>
  <c r="B15" i="4"/>
  <c r="AE11" i="4"/>
  <c r="AD11" i="4"/>
  <c r="AC11" i="4"/>
  <c r="AB11" i="4"/>
  <c r="AA11" i="4"/>
  <c r="Z11" i="4"/>
  <c r="Y11" i="4"/>
  <c r="X11" i="4"/>
  <c r="W11" i="4"/>
  <c r="V11" i="4"/>
  <c r="U11" i="4"/>
  <c r="T11" i="4"/>
  <c r="S11" i="4"/>
  <c r="R11" i="4"/>
  <c r="AF11" i="4" s="1"/>
  <c r="B11" i="4"/>
  <c r="AE10" i="4"/>
  <c r="AD10" i="4"/>
  <c r="AC10" i="4"/>
  <c r="AB10" i="4"/>
  <c r="AA10" i="4"/>
  <c r="Z10" i="4"/>
  <c r="Y10" i="4"/>
  <c r="X10" i="4"/>
  <c r="W10" i="4"/>
  <c r="V10" i="4"/>
  <c r="U10" i="4"/>
  <c r="T10" i="4"/>
  <c r="S10" i="4"/>
  <c r="R10" i="4"/>
  <c r="AF10" i="4" s="1"/>
  <c r="B10" i="4"/>
  <c r="AE9" i="4"/>
  <c r="AD9" i="4"/>
  <c r="AC9" i="4"/>
  <c r="AB9" i="4"/>
  <c r="AA9" i="4"/>
  <c r="Z9" i="4"/>
  <c r="Y9" i="4"/>
  <c r="X9" i="4"/>
  <c r="W9" i="4"/>
  <c r="V9" i="4"/>
  <c r="U9" i="4"/>
  <c r="T9" i="4"/>
  <c r="S9" i="4"/>
  <c r="R9" i="4"/>
  <c r="AF9" i="4" s="1"/>
  <c r="B9" i="4"/>
  <c r="AE8" i="4"/>
  <c r="AD8" i="4"/>
  <c r="AC8" i="4"/>
  <c r="AB8" i="4"/>
  <c r="AA8" i="4"/>
  <c r="Z8" i="4"/>
  <c r="Y8" i="4"/>
  <c r="X8" i="4"/>
  <c r="W8" i="4"/>
  <c r="V8" i="4"/>
  <c r="U8" i="4"/>
  <c r="T8" i="4"/>
  <c r="S8" i="4"/>
  <c r="R8" i="4"/>
  <c r="AF8" i="4" s="1"/>
  <c r="AE7" i="4"/>
  <c r="AD7" i="4"/>
  <c r="AC7" i="4"/>
  <c r="AB7" i="4"/>
  <c r="AA7" i="4"/>
  <c r="Z7" i="4"/>
  <c r="Y7" i="4"/>
  <c r="X7" i="4"/>
  <c r="W7" i="4"/>
  <c r="V7" i="4"/>
  <c r="U7" i="4"/>
  <c r="T7" i="4"/>
  <c r="S7" i="4"/>
  <c r="R7" i="4"/>
  <c r="AF7" i="4" s="1"/>
  <c r="AE6" i="4"/>
  <c r="AD6" i="4"/>
  <c r="AC6" i="4"/>
  <c r="AB6" i="4"/>
  <c r="AA6" i="4"/>
  <c r="Z6" i="4"/>
  <c r="Y6" i="4"/>
  <c r="X6" i="4"/>
  <c r="W6" i="4"/>
  <c r="V6" i="4"/>
  <c r="U6" i="4"/>
  <c r="T6" i="4"/>
  <c r="S6" i="4"/>
  <c r="R6" i="4"/>
  <c r="AF6" i="4" s="1"/>
  <c r="AE5" i="4"/>
  <c r="AD5" i="4"/>
  <c r="AC5" i="4"/>
  <c r="AB5" i="4"/>
  <c r="AA5" i="4"/>
  <c r="Z5" i="4"/>
  <c r="Y5" i="4"/>
  <c r="X5" i="4"/>
  <c r="W5" i="4"/>
  <c r="V5" i="4"/>
  <c r="U5" i="4"/>
  <c r="T5" i="4"/>
  <c r="S5" i="4"/>
  <c r="R5" i="4"/>
  <c r="G4" i="4"/>
  <c r="G13" i="4" s="1"/>
  <c r="F2" i="4"/>
  <c r="AE35" i="3"/>
  <c r="AD35" i="3"/>
  <c r="AC35" i="3"/>
  <c r="AB35" i="3"/>
  <c r="AA35" i="3"/>
  <c r="Z35" i="3"/>
  <c r="Y35" i="3"/>
  <c r="X35" i="3"/>
  <c r="W35" i="3"/>
  <c r="V35" i="3"/>
  <c r="U35" i="3"/>
  <c r="T35" i="3"/>
  <c r="S35" i="3"/>
  <c r="R35" i="3"/>
  <c r="AF35" i="3" s="1"/>
  <c r="AE34" i="3"/>
  <c r="AD34" i="3"/>
  <c r="AC34" i="3"/>
  <c r="AB34" i="3"/>
  <c r="AA34" i="3"/>
  <c r="Z34" i="3"/>
  <c r="Y34" i="3"/>
  <c r="X34" i="3"/>
  <c r="W34" i="3"/>
  <c r="V34" i="3"/>
  <c r="U34" i="3"/>
  <c r="T34" i="3"/>
  <c r="S34" i="3"/>
  <c r="R34" i="3"/>
  <c r="AF34" i="3" s="1"/>
  <c r="AE33" i="3"/>
  <c r="AD33" i="3"/>
  <c r="AC33" i="3"/>
  <c r="AB33" i="3"/>
  <c r="AA33" i="3"/>
  <c r="Z33" i="3"/>
  <c r="Y33" i="3"/>
  <c r="X33" i="3"/>
  <c r="W33" i="3"/>
  <c r="V33" i="3"/>
  <c r="U33" i="3"/>
  <c r="T33" i="3"/>
  <c r="S33" i="3"/>
  <c r="R33" i="3"/>
  <c r="AF33" i="3" s="1"/>
  <c r="AE32" i="3"/>
  <c r="AD32" i="3"/>
  <c r="AC32" i="3"/>
  <c r="AB32" i="3"/>
  <c r="AA32" i="3"/>
  <c r="Z32" i="3"/>
  <c r="Y32" i="3"/>
  <c r="X32" i="3"/>
  <c r="W32" i="3"/>
  <c r="V32" i="3"/>
  <c r="U32" i="3"/>
  <c r="T32" i="3"/>
  <c r="S32" i="3"/>
  <c r="R32" i="3"/>
  <c r="AF32" i="3" s="1"/>
  <c r="AE31" i="3"/>
  <c r="AD31" i="3"/>
  <c r="AC31" i="3"/>
  <c r="AB31" i="3"/>
  <c r="AA31" i="3"/>
  <c r="Z31" i="3"/>
  <c r="Y31" i="3"/>
  <c r="X31" i="3"/>
  <c r="W31" i="3"/>
  <c r="V31" i="3"/>
  <c r="U31" i="3"/>
  <c r="T31" i="3"/>
  <c r="S31" i="3"/>
  <c r="R31" i="3"/>
  <c r="AF31" i="3" s="1"/>
  <c r="AE30" i="3"/>
  <c r="AD30" i="3"/>
  <c r="AC30" i="3"/>
  <c r="AB30" i="3"/>
  <c r="AA30" i="3"/>
  <c r="Z30" i="3"/>
  <c r="Y30" i="3"/>
  <c r="X30" i="3"/>
  <c r="W30" i="3"/>
  <c r="V30" i="3"/>
  <c r="U30" i="3"/>
  <c r="T30" i="3"/>
  <c r="S30" i="3"/>
  <c r="R30" i="3"/>
  <c r="AF30" i="3" s="1"/>
  <c r="AE23" i="3"/>
  <c r="AD23" i="3"/>
  <c r="AC23" i="3"/>
  <c r="AB23" i="3"/>
  <c r="AA23" i="3"/>
  <c r="Z23" i="3"/>
  <c r="Y23" i="3"/>
  <c r="X23" i="3"/>
  <c r="W23" i="3"/>
  <c r="V23" i="3"/>
  <c r="U23" i="3"/>
  <c r="T23" i="3"/>
  <c r="S23" i="3"/>
  <c r="R23" i="3"/>
  <c r="AF23" i="3" s="1"/>
  <c r="AE22" i="3"/>
  <c r="AD22" i="3"/>
  <c r="AC22" i="3"/>
  <c r="AB22" i="3"/>
  <c r="AA22" i="3"/>
  <c r="Z22" i="3"/>
  <c r="Y22" i="3"/>
  <c r="X22" i="3"/>
  <c r="W22" i="3"/>
  <c r="V22" i="3"/>
  <c r="U22" i="3"/>
  <c r="T22" i="3"/>
  <c r="S22" i="3"/>
  <c r="R22" i="3"/>
  <c r="AF22" i="3" s="1"/>
  <c r="AE21" i="3"/>
  <c r="AD21" i="3"/>
  <c r="AC21" i="3"/>
  <c r="AB21" i="3"/>
  <c r="AA21" i="3"/>
  <c r="Z21" i="3"/>
  <c r="Y21" i="3"/>
  <c r="X21" i="3"/>
  <c r="W21" i="3"/>
  <c r="V21" i="3"/>
  <c r="U21" i="3"/>
  <c r="T21" i="3"/>
  <c r="S21" i="3"/>
  <c r="R21" i="3"/>
  <c r="AF21" i="3" s="1"/>
  <c r="AE20" i="3"/>
  <c r="AD20" i="3"/>
  <c r="AC20" i="3"/>
  <c r="AB20" i="3"/>
  <c r="AA20" i="3"/>
  <c r="Z20" i="3"/>
  <c r="Y20" i="3"/>
  <c r="X20" i="3"/>
  <c r="W20" i="3"/>
  <c r="V20" i="3"/>
  <c r="U20" i="3"/>
  <c r="T20" i="3"/>
  <c r="S20" i="3"/>
  <c r="R20" i="3"/>
  <c r="AF20" i="3" s="1"/>
  <c r="AE19" i="3"/>
  <c r="AD19" i="3"/>
  <c r="AC19" i="3"/>
  <c r="AB19" i="3"/>
  <c r="AA19" i="3"/>
  <c r="Z19" i="3"/>
  <c r="Y19" i="3"/>
  <c r="X19" i="3"/>
  <c r="W19" i="3"/>
  <c r="V19" i="3"/>
  <c r="U19" i="3"/>
  <c r="T19" i="3"/>
  <c r="S19" i="3"/>
  <c r="R19" i="3"/>
  <c r="AF19" i="3" s="1"/>
  <c r="AE18" i="3"/>
  <c r="AD18" i="3"/>
  <c r="AC18" i="3"/>
  <c r="AB18" i="3"/>
  <c r="AA18" i="3"/>
  <c r="Z18" i="3"/>
  <c r="Y18" i="3"/>
  <c r="X18" i="3"/>
  <c r="W18" i="3"/>
  <c r="V18" i="3"/>
  <c r="U18" i="3"/>
  <c r="T18" i="3"/>
  <c r="S18" i="3"/>
  <c r="R18" i="3"/>
  <c r="AF18" i="3" s="1"/>
  <c r="B15" i="3"/>
  <c r="AE11" i="3"/>
  <c r="AD11" i="3"/>
  <c r="AC11" i="3"/>
  <c r="AB11" i="3"/>
  <c r="AA11" i="3"/>
  <c r="Z11" i="3"/>
  <c r="Y11" i="3"/>
  <c r="X11" i="3"/>
  <c r="W11" i="3"/>
  <c r="V11" i="3"/>
  <c r="U11" i="3"/>
  <c r="T11" i="3"/>
  <c r="S11" i="3"/>
  <c r="R11" i="3"/>
  <c r="AF11" i="3" s="1"/>
  <c r="B11" i="3"/>
  <c r="AE10" i="3"/>
  <c r="AD10" i="3"/>
  <c r="AC10" i="3"/>
  <c r="AB10" i="3"/>
  <c r="AA10" i="3"/>
  <c r="Z10" i="3"/>
  <c r="Y10" i="3"/>
  <c r="X10" i="3"/>
  <c r="W10" i="3"/>
  <c r="V10" i="3"/>
  <c r="U10" i="3"/>
  <c r="T10" i="3"/>
  <c r="S10" i="3"/>
  <c r="R10" i="3"/>
  <c r="AF10" i="3" s="1"/>
  <c r="B10" i="3"/>
  <c r="AE9" i="3"/>
  <c r="AD9" i="3"/>
  <c r="AC9" i="3"/>
  <c r="AB9" i="3"/>
  <c r="AA9" i="3"/>
  <c r="Z9" i="3"/>
  <c r="Y9" i="3"/>
  <c r="X9" i="3"/>
  <c r="W9" i="3"/>
  <c r="V9" i="3"/>
  <c r="U9" i="3"/>
  <c r="T9" i="3"/>
  <c r="S9" i="3"/>
  <c r="R9" i="3"/>
  <c r="AF9" i="3" s="1"/>
  <c r="B9" i="3"/>
  <c r="AE8" i="3"/>
  <c r="AD8" i="3"/>
  <c r="AC8" i="3"/>
  <c r="AB8" i="3"/>
  <c r="AA8" i="3"/>
  <c r="Z8" i="3"/>
  <c r="Y8" i="3"/>
  <c r="X8" i="3"/>
  <c r="W8" i="3"/>
  <c r="V8" i="3"/>
  <c r="U8" i="3"/>
  <c r="T8" i="3"/>
  <c r="S8" i="3"/>
  <c r="R8" i="3"/>
  <c r="AF8" i="3" s="1"/>
  <c r="AE7" i="3"/>
  <c r="AD7" i="3"/>
  <c r="AC7" i="3"/>
  <c r="AB7" i="3"/>
  <c r="AA7" i="3"/>
  <c r="Z7" i="3"/>
  <c r="Y7" i="3"/>
  <c r="X7" i="3"/>
  <c r="W7" i="3"/>
  <c r="V7" i="3"/>
  <c r="U7" i="3"/>
  <c r="T7" i="3"/>
  <c r="S7" i="3"/>
  <c r="R7" i="3"/>
  <c r="AF7" i="3" s="1"/>
  <c r="AE6" i="3"/>
  <c r="AD6" i="3"/>
  <c r="AC6" i="3"/>
  <c r="AB6" i="3"/>
  <c r="AA6" i="3"/>
  <c r="Z6" i="3"/>
  <c r="Y6" i="3"/>
  <c r="X6" i="3"/>
  <c r="W6" i="3"/>
  <c r="V6" i="3"/>
  <c r="U6" i="3"/>
  <c r="T6" i="3"/>
  <c r="S6" i="3"/>
  <c r="R6" i="3"/>
  <c r="AF6" i="3" s="1"/>
  <c r="AE5" i="3"/>
  <c r="AD5" i="3"/>
  <c r="AC5" i="3"/>
  <c r="AB5" i="3"/>
  <c r="AA5" i="3"/>
  <c r="Z5" i="3"/>
  <c r="Y5" i="3"/>
  <c r="X5" i="3"/>
  <c r="W5" i="3"/>
  <c r="V5" i="3"/>
  <c r="U5" i="3"/>
  <c r="T5" i="3"/>
  <c r="S5" i="3"/>
  <c r="R5" i="3"/>
  <c r="G4" i="3"/>
  <c r="G13" i="3" s="1"/>
  <c r="F2" i="3"/>
  <c r="B14" i="3" l="1"/>
  <c r="G2" i="3" s="1"/>
  <c r="B13" i="3"/>
  <c r="B12" i="3"/>
  <c r="G28" i="3"/>
  <c r="G37" i="3" s="1"/>
  <c r="G16" i="3"/>
  <c r="G25" i="3" s="1"/>
  <c r="B14" i="4"/>
  <c r="G2" i="4" s="1"/>
  <c r="B13" i="4"/>
  <c r="B12" i="4"/>
  <c r="G28" i="4"/>
  <c r="G37" i="4" s="1"/>
  <c r="G16" i="4"/>
  <c r="G25" i="4" s="1"/>
</calcChain>
</file>

<file path=xl/sharedStrings.xml><?xml version="1.0" encoding="utf-8"?>
<sst xmlns="http://schemas.openxmlformats.org/spreadsheetml/2006/main" count="328" uniqueCount="82">
  <si>
    <t>betekenis kleuren</t>
  </si>
  <si>
    <t>periode</t>
  </si>
  <si>
    <t>afname</t>
  </si>
  <si>
    <t>ja/nee</t>
  </si>
  <si>
    <t>veld wordt gevuld door PHP bij genereren file</t>
  </si>
  <si>
    <t>kies…</t>
  </si>
  <si>
    <t>veld wordt gevuld door Excel</t>
  </si>
  <si>
    <t>tt</t>
  </si>
  <si>
    <t>ja</t>
  </si>
  <si>
    <t>zelf invoeren bij opbouw Excel</t>
  </si>
  <si>
    <t>mt</t>
  </si>
  <si>
    <t>nee</t>
  </si>
  <si>
    <t>wit</t>
  </si>
  <si>
    <t>niet schrijfbaar</t>
  </si>
  <si>
    <t>lt</t>
  </si>
  <si>
    <t>1e veld</t>
  </si>
  <si>
    <t>rij of kolom verbergen</t>
  </si>
  <si>
    <t>hd</t>
  </si>
  <si>
    <t>invullen</t>
  </si>
  <si>
    <t>po</t>
  </si>
  <si>
    <t>invullen status SE</t>
  </si>
  <si>
    <t>dropdown verplicht invullen / gegeven ontbreekt (logisch)</t>
  </si>
  <si>
    <t>hoeft niet gevuld (want geen SE)</t>
  </si>
  <si>
    <t>geblokkeerd voor schrijven</t>
  </si>
  <si>
    <t>header</t>
  </si>
  <si>
    <r>
      <rPr>
        <b/>
        <sz val="12"/>
        <color rgb="FFFFFFFF"/>
        <rFont val="Segoe UI"/>
      </rPr>
      <t xml:space="preserve">INSTRUCTIE </t>
    </r>
    <r>
      <rPr>
        <sz val="12"/>
        <color rgb="FFFFFFFF"/>
        <rFont val="Segoe UI"/>
      </rPr>
      <t>graag uw aandacht voor het volgende:</t>
    </r>
  </si>
  <si>
    <t>Vorig jaar zijn we overgestapt van de invoer van PTA's in Word naar het invoeren via Excel. Dit was een eerste stap in een groter proces op weg naar volledige PTA-cohorten: PTA's waarin alle leerjaren van een examengroep staan beschreven. Dit nieuwe invoerdocument is een uitwerking van deze wens.</t>
  </si>
  <si>
    <t>COHORTEN en COHORTJAREN</t>
  </si>
  <si>
    <r>
      <t xml:space="preserve">In dit document zie je tabbladen met namen als </t>
    </r>
    <r>
      <rPr>
        <b/>
        <sz val="12"/>
        <color rgb="FF000000"/>
        <rFont val="Segoe UI"/>
      </rPr>
      <t>A 2019</t>
    </r>
    <r>
      <rPr>
        <sz val="12"/>
        <color rgb="FF000000"/>
        <rFont val="Segoe UI"/>
      </rPr>
      <t xml:space="preserve"> of </t>
    </r>
    <r>
      <rPr>
        <b/>
        <sz val="12"/>
        <color rgb="FF000000"/>
        <rFont val="Segoe UI"/>
      </rPr>
      <t>H 2021</t>
    </r>
    <r>
      <rPr>
        <sz val="12"/>
        <color rgb="FF000000"/>
        <rFont val="Segoe UI"/>
      </rPr>
      <t xml:space="preserve">. Dat jaartal slaat op het kalenderjaar waarin een groep start met het schoolexamen (gerekend vanaf mavo-3, havo-4 of VWO-4). Voor </t>
    </r>
    <r>
      <rPr>
        <b/>
        <sz val="12"/>
        <color rgb="FF000000"/>
        <rFont val="Segoe UI"/>
      </rPr>
      <t>A 2019</t>
    </r>
    <r>
      <rPr>
        <sz val="12"/>
        <color rgb="FF000000"/>
        <rFont val="Segoe UI"/>
      </rPr>
      <t xml:space="preserve"> gaat het dus om de atheneumjaarlaag die in het schooljaar </t>
    </r>
    <r>
      <rPr>
        <i/>
        <sz val="12"/>
        <color rgb="FF000000"/>
        <rFont val="Segoe UI"/>
      </rPr>
      <t>2019-2020</t>
    </r>
    <r>
      <rPr>
        <sz val="12"/>
        <color rgb="FF000000"/>
        <rFont val="Segoe UI"/>
      </rPr>
      <t xml:space="preserve"> in klas 4 zat, in </t>
    </r>
    <r>
      <rPr>
        <i/>
        <sz val="12"/>
        <color rgb="FF000000"/>
        <rFont val="Segoe UI"/>
      </rPr>
      <t>2020-2021</t>
    </r>
    <r>
      <rPr>
        <sz val="12"/>
        <color rgb="FF000000"/>
        <rFont val="Segoe UI"/>
      </rPr>
      <t xml:space="preserve"> in klas 5 en in </t>
    </r>
    <r>
      <rPr>
        <i/>
        <sz val="12"/>
        <color rgb="FF000000"/>
        <rFont val="Segoe UI"/>
      </rPr>
      <t>2021-2022</t>
    </r>
    <r>
      <rPr>
        <sz val="12"/>
        <color rgb="FF000000"/>
        <rFont val="Segoe UI"/>
      </rPr>
      <t xml:space="preserve"> in klas 6. Het volledige </t>
    </r>
    <r>
      <rPr>
        <b/>
        <sz val="12"/>
        <color rgb="FF000000"/>
        <rFont val="Segoe UI"/>
      </rPr>
      <t>cohort</t>
    </r>
    <r>
      <rPr>
        <sz val="12"/>
        <color rgb="FF000000"/>
        <rFont val="Segoe UI"/>
      </rPr>
      <t xml:space="preserve"> is dan de periode 2019-2022. Het betreft hier dus de </t>
    </r>
    <r>
      <rPr>
        <i/>
        <sz val="12"/>
        <color rgb="FF000000"/>
        <rFont val="Segoe UI"/>
      </rPr>
      <t>huidige vwo-5</t>
    </r>
    <r>
      <rPr>
        <sz val="12"/>
        <color rgb="FF000000"/>
        <rFont val="Segoe UI"/>
      </rPr>
      <t>. Als je klikt op een tabblad wordt de bijbehorende groep vermeld.</t>
    </r>
  </si>
  <si>
    <t>SCHRIJFRECHT en leesrecht: CONTROLE</t>
  </si>
  <si>
    <r>
      <t xml:space="preserve">Voor de </t>
    </r>
    <r>
      <rPr>
        <i/>
        <sz val="12"/>
        <color rgb="FF000000"/>
        <rFont val="Segoe UI"/>
      </rPr>
      <t>huidige vwo-5</t>
    </r>
    <r>
      <rPr>
        <sz val="12"/>
        <color rgb="FF000000"/>
        <rFont val="Segoe UI"/>
      </rPr>
      <t xml:space="preserve"> liggen de leerjaren 4 en 5 van het PTA al achter ons. Daarom zijn de bijbehorende velden geblokkeerd. Wij hebben alle informatie van het huidige schooljaar overgenomen in dit nieuwe bestand. </t>
    </r>
    <r>
      <rPr>
        <b/>
        <sz val="12"/>
        <color rgb="FF5B9BD5"/>
        <rFont val="Segoe UI"/>
      </rPr>
      <t>Wil je controleren of de gegevens van het huidige schooljaar juist zijn?</t>
    </r>
    <r>
      <rPr>
        <b/>
        <sz val="12"/>
        <color rgb="FF000000"/>
        <rFont val="Segoe UI"/>
      </rPr>
      <t xml:space="preserve"> </t>
    </r>
    <r>
      <rPr>
        <sz val="12"/>
        <color rgb="FF000000"/>
        <rFont val="Segoe UI"/>
      </rPr>
      <t xml:space="preserve">Klopt er iets niet? Stuur dan een mailtje naar VNR. Velden voor het komende schooljaar zijn wel beschrijfbaar. Hier vul je het PTA verder in. Net als vorig jaar verwachten we het </t>
    </r>
    <r>
      <rPr>
        <i/>
        <sz val="12"/>
        <color rgb="FF000000"/>
        <rFont val="Segoe UI"/>
      </rPr>
      <t>volledige onderwijsprogramma</t>
    </r>
    <r>
      <rPr>
        <sz val="12"/>
        <color rgb="FF000000"/>
        <rFont val="Segoe UI"/>
      </rPr>
      <t xml:space="preserve"> voor een leerlaag, dus ook de proefwerken en andere opdrachten die niet voor het schoolexamen gelden. Als service hebben we het cohortjaar dat je voor dit schooljaar had ingevuld gekopieerd naar het PTA voor de nieuwe groep in de hoop dat dit jullie werk bespaard.</t>
    </r>
  </si>
  <si>
    <r>
      <rPr>
        <b/>
        <sz val="12"/>
        <color rgb="FFFFFFFF"/>
        <rFont val="Segoe UI"/>
      </rPr>
      <t xml:space="preserve">HEEL BELANGRIJK: </t>
    </r>
    <r>
      <rPr>
        <sz val="12"/>
        <color rgb="FFFFFFFF"/>
        <rFont val="Segoe UI"/>
      </rPr>
      <t>do's &amp; don'ts</t>
    </r>
  </si>
  <si>
    <r>
      <t xml:space="preserve">Lees dit gedeelte echt even goed door. Vorig jaar hebben we veel nawerk gehad door </t>
    </r>
    <r>
      <rPr>
        <i/>
        <sz val="12"/>
        <color rgb="FF000000"/>
        <rFont val="Segoe UI"/>
      </rPr>
      <t>afwijkende invoer</t>
    </r>
    <r>
      <rPr>
        <sz val="12"/>
        <color rgb="FF000000"/>
        <rFont val="Segoe UI"/>
      </rPr>
      <t xml:space="preserve"> in het Excelbestand, niet volledig ingevulde gegevens en niet kloppende gegevens. Allereerst: Open dit bestand niet in een verouderde Excel-versie. Openen hem op je schoollaptop of een werkstation op school </t>
    </r>
    <r>
      <rPr>
        <b/>
        <sz val="12"/>
        <color rgb="FF000000"/>
        <rFont val="Segoe UI"/>
      </rPr>
      <t>vanuit Teams</t>
    </r>
    <r>
      <rPr>
        <sz val="12"/>
        <color rgb="FF000000"/>
        <rFont val="Segoe UI"/>
      </rPr>
      <t xml:space="preserve">. Download het bestand dus </t>
    </r>
    <r>
      <rPr>
        <b/>
        <sz val="12"/>
        <color rgb="FF000000"/>
        <rFont val="Segoe UI"/>
      </rPr>
      <t>niet</t>
    </r>
    <r>
      <rPr>
        <sz val="12"/>
        <color rgb="FF000000"/>
        <rFont val="Segoe UI"/>
      </rPr>
      <t>. Dit leidt tot ongewenste dubbelingen en inconsistentie. Open in de Excel-applicatie kan gewoon, maar dan wel vanuit Teams. Let daarnaast bij de over op de volgende punten:</t>
    </r>
  </si>
  <si>
    <t>overzicht aandachtspunten bij het werken met dit document</t>
  </si>
  <si>
    <t>&gt;</t>
  </si>
  <si>
    <t>De groene velden zijn beschrijfbaar. De donkergroene velden hoef je alleen in te vullen als er sprake is van een PTA-onderdeel.</t>
  </si>
  <si>
    <r>
      <t xml:space="preserve">Wil je iets verplaatsen? Ga alsjeblieft </t>
    </r>
    <r>
      <rPr>
        <b/>
        <sz val="12"/>
        <color rgb="FFC00000"/>
        <rFont val="Segoe UI"/>
      </rPr>
      <t>niet knippen</t>
    </r>
    <r>
      <rPr>
        <sz val="12"/>
        <color rgb="FF000000"/>
        <rFont val="Segoe UI"/>
      </rPr>
      <t xml:space="preserve"> (geen Ctrl-x). Daarmee verwijder je namelijk ook voor jou onzichtbare onderdelen. In plaats daarvan: het meest veilig is even overschrijven, maar als je toch wilt kopiëren: kies dan in het nieuwe veld voor het </t>
    </r>
    <r>
      <rPr>
        <i/>
        <sz val="12"/>
        <color rgb="FF000000"/>
        <rFont val="Segoe UI"/>
      </rPr>
      <t>plakken van waarden</t>
    </r>
    <r>
      <rPr>
        <sz val="12"/>
        <color rgb="FF000000"/>
        <rFont val="Segoe UI"/>
      </rPr>
      <t xml:space="preserve"> en delete vervolgens de inhoud van de velden die moeten worden geleegd.</t>
    </r>
  </si>
  <si>
    <t>Vorig jaar hebben secties soms zelf geprobeerd hun PTA te layouten binnen Excel met b.v. spaties. Doe dit niet. Het PTA wordt uiteindelijk als PDF afgedrukt in een andere layout. Zelf aanpassen heeft dus geen zin, maar zorgt wel voor problemen bij de verdere verwerking!</t>
  </si>
  <si>
    <r>
      <t xml:space="preserve">De kolommen </t>
    </r>
    <r>
      <rPr>
        <i/>
        <sz val="12"/>
        <color rgb="FF000000"/>
        <rFont val="Segoe UI"/>
      </rPr>
      <t>weging VD</t>
    </r>
    <r>
      <rPr>
        <sz val="12"/>
        <color rgb="FF000000"/>
        <rFont val="Segoe UI"/>
      </rPr>
      <t xml:space="preserve">, </t>
    </r>
    <r>
      <rPr>
        <i/>
        <sz val="12"/>
        <color rgb="FF000000"/>
        <rFont val="Segoe UI"/>
      </rPr>
      <t>weging SE</t>
    </r>
    <r>
      <rPr>
        <sz val="12"/>
        <color rgb="FF000000"/>
        <rFont val="Segoe UI"/>
      </rPr>
      <t xml:space="preserve"> en </t>
    </r>
    <r>
      <rPr>
        <i/>
        <sz val="12"/>
        <color rgb="FF000000"/>
        <rFont val="Segoe UI"/>
      </rPr>
      <t>duur</t>
    </r>
    <r>
      <rPr>
        <sz val="12"/>
        <color rgb="FF000000"/>
        <rFont val="Segoe UI"/>
      </rPr>
      <t xml:space="preserve"> zijn </t>
    </r>
    <r>
      <rPr>
        <b/>
        <sz val="12"/>
        <color rgb="FF000000"/>
        <rFont val="Segoe UI"/>
      </rPr>
      <t>numeriek</t>
    </r>
    <r>
      <rPr>
        <sz val="12"/>
        <color rgb="FF000000"/>
        <rFont val="Segoe UI"/>
      </rPr>
      <t xml:space="preserve">. Vul hier alleen getallen in (en dus niet dingen als </t>
    </r>
    <r>
      <rPr>
        <i/>
        <sz val="12"/>
        <color rgb="FF000000"/>
        <rFont val="Segoe UI"/>
      </rPr>
      <t xml:space="preserve">100 </t>
    </r>
    <r>
      <rPr>
        <i/>
        <sz val="12"/>
        <color rgb="FFC00000"/>
        <rFont val="Segoe UI"/>
      </rPr>
      <t>min</t>
    </r>
    <r>
      <rPr>
        <sz val="12"/>
        <color rgb="FF000000"/>
        <rFont val="Segoe UI"/>
      </rPr>
      <t xml:space="preserve">, </t>
    </r>
    <r>
      <rPr>
        <i/>
        <sz val="12"/>
        <color rgb="FF000000"/>
        <rFont val="Segoe UI"/>
      </rPr>
      <t>15</t>
    </r>
    <r>
      <rPr>
        <i/>
        <sz val="12"/>
        <color rgb="FFC00000"/>
        <rFont val="Segoe UI"/>
      </rPr>
      <t>?</t>
    </r>
    <r>
      <rPr>
        <sz val="12"/>
        <color rgb="FF000000"/>
        <rFont val="Segoe UI"/>
      </rPr>
      <t>, etc.)</t>
    </r>
  </si>
  <si>
    <r>
      <t xml:space="preserve">De kolommen G, J, M en O bevatten zogenaamde </t>
    </r>
    <r>
      <rPr>
        <i/>
        <sz val="12"/>
        <color rgb="FF000000"/>
        <rFont val="Segoe UI"/>
      </rPr>
      <t>dropdown</t>
    </r>
    <r>
      <rPr>
        <sz val="12"/>
        <color rgb="FF000000"/>
        <rFont val="Segoe UI"/>
      </rPr>
      <t xml:space="preserve">-menu's. Gebruik deze voor de invoer. Dat klinkt als een open deur, maar: </t>
    </r>
    <r>
      <rPr>
        <b/>
        <sz val="12"/>
        <color rgb="FF000000"/>
        <rFont val="Segoe UI"/>
      </rPr>
      <t>niet</t>
    </r>
    <r>
      <rPr>
        <sz val="12"/>
        <color rgb="FF000000"/>
        <rFont val="Segoe UI"/>
      </rPr>
      <t xml:space="preserve"> handmatig overschrijven!</t>
    </r>
  </si>
  <si>
    <t>Tot slot: is er toch iets mis gegaan of twijfel je? Helemaal niet erg, maar geef het even aan!</t>
  </si>
  <si>
    <t>*</t>
  </si>
  <si>
    <t>statusCode</t>
  </si>
  <si>
    <t>schrijfrecht</t>
  </si>
  <si>
    <t>fouten?</t>
  </si>
  <si>
    <t>vak</t>
  </si>
  <si>
    <t>BTE</t>
  </si>
  <si>
    <t>cjid</t>
  </si>
  <si>
    <t>vid</t>
  </si>
  <si>
    <t>id</t>
  </si>
  <si>
    <t>somCode</t>
  </si>
  <si>
    <t>leerstofomschrijving</t>
  </si>
  <si>
    <t>weging VD</t>
  </si>
  <si>
    <t>soort toets</t>
  </si>
  <si>
    <t>afwijkende hulpmiddelen / bijzonderheden</t>
  </si>
  <si>
    <t>duur (min)</t>
  </si>
  <si>
    <t>SE?</t>
  </si>
  <si>
    <t>weging SE</t>
  </si>
  <si>
    <t>herkans-baar?</t>
  </si>
  <si>
    <t>verplichte SE-domeinen</t>
  </si>
  <si>
    <t>TOTAAL</t>
  </si>
  <si>
    <t>niveau</t>
  </si>
  <si>
    <t>M</t>
  </si>
  <si>
    <t>startJaar</t>
  </si>
  <si>
    <t>cid</t>
  </si>
  <si>
    <t>eindJaar</t>
  </si>
  <si>
    <t>vandaag</t>
  </si>
  <si>
    <t>huidigStartjaar</t>
  </si>
  <si>
    <t>huidigSchooljaar</t>
  </si>
  <si>
    <t>positiePTA</t>
  </si>
  <si>
    <t>groep</t>
  </si>
  <si>
    <t>mavo?</t>
  </si>
  <si>
    <t xml:space="preserve">Thematische praktische opdracht met diverse materialen binnen het thema. </t>
  </si>
  <si>
    <t>Zie opmerkingen</t>
  </si>
  <si>
    <t>Expo Beeldende vakken Hoofdstuk 1 en 2</t>
  </si>
  <si>
    <t>K8</t>
  </si>
  <si>
    <t xml:space="preserve">Thematische praktische opdracht 2 Stappenplan
</t>
  </si>
  <si>
    <t>Expo Beeldende vakken Hoofdstuk 3, 3.1-3.4</t>
  </si>
  <si>
    <t>Thematische praktische opdracht 3 (proefexamen)</t>
  </si>
  <si>
    <t>Expo Beeldende vakken Hoofdstuk 3,  3.5-3.8</t>
  </si>
  <si>
    <t>Thematische praktische opdracht 1</t>
  </si>
  <si>
    <t xml:space="preserve">Stappenplan: onderzoek probleemstelling, oriÃ«ntatie beeldend onderzoek, uitvoering, reflectie, presentatie.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</si>
</sst>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rgb="FF000000"/>
      <name val="Calibri"/>
    </font>
    <font>
      <b/>
      <sz val="11"/>
      <color rgb="FF000000"/>
      <name val="Calibri"/>
    </font>
    <font>
      <sz val="12"/>
      <color rgb="FF000000"/>
      <name val="Segoe UI"/>
    </font>
    <font>
      <b/>
      <sz val="12"/>
      <color rgb="FF000000"/>
      <name val="Segoe UI"/>
    </font>
    <font>
      <sz val="11"/>
      <color rgb="FFD8D8D8"/>
      <name val="Calibri"/>
    </font>
    <font>
      <sz val="11"/>
      <color rgb="FFFFFFFF"/>
      <name val="Calibri"/>
    </font>
    <font>
      <sz val="10"/>
      <color rgb="FF000000"/>
      <name val="Segoe UI"/>
    </font>
    <font>
      <b/>
      <sz val="16"/>
      <color rgb="FF44546A"/>
      <name val="Segoe UI"/>
    </font>
    <font>
      <b/>
      <sz val="12"/>
      <color rgb="FFFFFFFF"/>
      <name val="Segoe UI"/>
    </font>
    <font>
      <sz val="12"/>
      <color rgb="FFFFFFFF"/>
      <name val="Segoe UI"/>
    </font>
    <font>
      <sz val="12"/>
      <color rgb="FFD8D8D8"/>
      <name val="Segoe UI"/>
    </font>
    <font>
      <sz val="26"/>
      <color rgb="FF000000"/>
      <name val="Segoe UI"/>
    </font>
    <font>
      <b/>
      <sz val="20"/>
      <color rgb="FF000000"/>
      <name val="Segoe UI"/>
    </font>
    <font>
      <sz val="12"/>
      <color rgb="FFF2F2F2"/>
      <name val="Segoe UI"/>
    </font>
    <font>
      <i/>
      <sz val="12"/>
      <color rgb="FF000000"/>
      <name val="Segoe UI"/>
    </font>
    <font>
      <b/>
      <sz val="12"/>
      <color rgb="FF5B9BD5"/>
      <name val="Segoe UI"/>
    </font>
    <font>
      <b/>
      <sz val="12"/>
      <color rgb="FFC00000"/>
      <name val="Segoe UI"/>
    </font>
    <font>
      <i/>
      <sz val="12"/>
      <color rgb="FFC00000"/>
      <name val="Segoe UI"/>
    </font>
  </fonts>
  <fills count="13">
    <fill>
      <patternFill patternType="none"/>
    </fill>
    <fill>
      <patternFill patternType="gray125"/>
    </fill>
    <fill>
      <patternFill patternType="solid">
        <fgColor rgb="FF5B9BD5"/>
        <bgColor rgb="FFFFFFFF"/>
      </patternFill>
    </fill>
    <fill>
      <patternFill patternType="solid">
        <fgColor rgb="FFFFC000"/>
        <bgColor rgb="FFFFFFFF"/>
      </patternFill>
    </fill>
    <fill>
      <patternFill patternType="solid">
        <fgColor rgb="FFFFFFFF"/>
        <bgColor rgb="FFFFFFFF"/>
      </patternFill>
    </fill>
    <fill>
      <patternFill patternType="solid">
        <fgColor rgb="FFA5A5A5"/>
        <bgColor rgb="FFFFFFFF"/>
      </patternFill>
    </fill>
    <fill>
      <patternFill patternType="solid">
        <fgColor rgb="FF7030A0"/>
        <bgColor rgb="FFFFFFFF"/>
      </patternFill>
    </fill>
    <fill>
      <patternFill patternType="solid">
        <fgColor rgb="FFE2EEDA"/>
        <bgColor rgb="FFFFFFFF"/>
      </patternFill>
    </fill>
    <fill>
      <patternFill patternType="solid">
        <fgColor rgb="FFC5DEB5"/>
        <bgColor rgb="FFFFFFFF"/>
      </patternFill>
    </fill>
    <fill>
      <patternFill patternType="solid">
        <fgColor rgb="FFED7D31"/>
        <bgColor rgb="FFFFFFFF"/>
      </patternFill>
    </fill>
    <fill>
      <patternFill patternType="solid">
        <fgColor rgb="FF223962"/>
        <bgColor rgb="FFFFFFFF"/>
      </patternFill>
    </fill>
    <fill>
      <patternFill patternType="solid">
        <fgColor rgb="FFD8D8D8"/>
        <bgColor rgb="FFFFFFFF"/>
      </patternFill>
    </fill>
    <fill>
      <patternFill patternType="solid">
        <fgColor rgb="FF44546A"/>
        <bgColor rgb="FFFFFFFF"/>
      </patternFill>
    </fill>
  </fills>
  <borders count="6">
    <border>
      <left/>
      <right/>
      <top/>
      <bottom/>
      <diagonal/>
    </border>
    <border>
      <left style="medium">
        <color rgb="FFC00000"/>
      </left>
      <right style="medium">
        <color rgb="FFC00000"/>
      </right>
      <top style="medium">
        <color rgb="FFC00000"/>
      </top>
      <bottom style="medium">
        <color rgb="FFC00000"/>
      </bottom>
      <diagonal/>
    </border>
    <border>
      <left/>
      <right style="hair">
        <color rgb="FFF2F2F2"/>
      </right>
      <top/>
      <bottom style="hair">
        <color rgb="FFA9CD90"/>
      </bottom>
      <diagonal/>
    </border>
    <border>
      <left/>
      <right/>
      <top/>
      <bottom style="hair">
        <color rgb="FFA9CD90"/>
      </bottom>
      <diagonal/>
    </border>
    <border>
      <left style="hair">
        <color rgb="FFF2F2F2"/>
      </left>
      <right style="hair">
        <color rgb="FFF2F2F2"/>
      </right>
      <top style="hair">
        <color rgb="FFF2F2F2"/>
      </top>
      <bottom style="hair">
        <color rgb="FFA9CD90"/>
      </bottom>
      <diagonal/>
    </border>
    <border>
      <left style="thin">
        <color rgb="FFDEEAF6"/>
      </left>
      <right style="thin">
        <color rgb="FFDEEAF6"/>
      </right>
      <top style="thin">
        <color rgb="FFDEEAF6"/>
      </top>
      <bottom style="thin">
        <color rgb="FFDEEAF6"/>
      </bottom>
      <diagonal/>
    </border>
  </borders>
  <cellStyleXfs count="1">
    <xf numFmtId="0" fontId="0" fillId="0" borderId="0"/>
  </cellStyleXfs>
  <cellXfs count="63">
    <xf numFmtId="0" fontId="0" fillId="0" borderId="0" xfId="0"/>
    <xf numFmtId="0" fontId="1" fillId="0" borderId="0" xfId="0" applyFont="1"/>
    <xf numFmtId="0" fontId="2" fillId="2" borderId="0" xfId="0" applyFont="1" applyFill="1" applyAlignment="1">
      <alignment horizontal="center"/>
    </xf>
    <xf numFmtId="0" fontId="0" fillId="2" borderId="0" xfId="0" applyFill="1"/>
    <xf numFmtId="0" fontId="2" fillId="3" borderId="0" xfId="0" applyFont="1" applyFill="1" applyAlignment="1">
      <alignment horizontal="center"/>
    </xf>
    <xf numFmtId="0" fontId="0" fillId="3" borderId="0" xfId="0" applyFill="1"/>
    <xf numFmtId="22" fontId="2" fillId="3" borderId="0" xfId="0" applyNumberFormat="1" applyFont="1" applyFill="1" applyAlignment="1">
      <alignment horizontal="center"/>
    </xf>
    <xf numFmtId="0" fontId="2" fillId="4" borderId="0" xfId="0" applyFont="1" applyFill="1" applyAlignment="1">
      <alignment horizontal="center"/>
    </xf>
    <xf numFmtId="0" fontId="2" fillId="4" borderId="0" xfId="0" applyFont="1" applyFill="1"/>
    <xf numFmtId="0" fontId="2" fillId="4" borderId="0" xfId="0" applyFont="1" applyFill="1" applyAlignment="1">
      <alignment horizontal="right"/>
    </xf>
    <xf numFmtId="0" fontId="0" fillId="5" borderId="0" xfId="0" applyFill="1"/>
    <xf numFmtId="0" fontId="3" fillId="6" borderId="0" xfId="0" applyFont="1" applyFill="1" applyAlignment="1">
      <alignment horizontal="right"/>
    </xf>
    <xf numFmtId="0" fontId="2" fillId="6" borderId="0" xfId="0" applyFont="1" applyFill="1" applyAlignment="1">
      <alignment horizontal="center"/>
    </xf>
    <xf numFmtId="0" fontId="0" fillId="6" borderId="0" xfId="0" applyFill="1"/>
    <xf numFmtId="0" fontId="4" fillId="0" borderId="0" xfId="0" applyFont="1"/>
    <xf numFmtId="0" fontId="2" fillId="6" borderId="0" xfId="0" applyFont="1" applyFill="1" applyAlignment="1">
      <alignment horizontal="right"/>
    </xf>
    <xf numFmtId="0" fontId="0" fillId="7" borderId="0" xfId="0" applyFill="1"/>
    <xf numFmtId="0" fontId="0" fillId="8" borderId="0" xfId="0" applyFill="1"/>
    <xf numFmtId="0" fontId="2" fillId="4" borderId="0" xfId="0" applyFont="1" applyFill="1" applyAlignment="1">
      <alignment horizontal="left"/>
    </xf>
    <xf numFmtId="0" fontId="0" fillId="9" borderId="0" xfId="0" applyFill="1"/>
    <xf numFmtId="0" fontId="0" fillId="0" borderId="1" xfId="0" applyBorder="1"/>
    <xf numFmtId="0" fontId="5" fillId="10" borderId="0" xfId="0" applyFont="1" applyFill="1"/>
    <xf numFmtId="0" fontId="0" fillId="11" borderId="0" xfId="0" applyFill="1"/>
    <xf numFmtId="0" fontId="2" fillId="7" borderId="2" xfId="0" applyFont="1" applyFill="1" applyBorder="1" applyAlignment="1" applyProtection="1">
      <alignment horizontal="center" vertical="center"/>
      <protection locked="0"/>
    </xf>
    <xf numFmtId="0" fontId="6" fillId="7" borderId="2" xfId="0" applyFont="1" applyFill="1" applyBorder="1" applyAlignment="1" applyProtection="1">
      <alignment vertical="center" wrapText="1"/>
      <protection locked="0"/>
    </xf>
    <xf numFmtId="0" fontId="2" fillId="7" borderId="3" xfId="0" applyFont="1" applyFill="1" applyBorder="1" applyAlignment="1" applyProtection="1">
      <alignment horizontal="center" vertical="center"/>
      <protection locked="0"/>
    </xf>
    <xf numFmtId="0" fontId="6" fillId="7" borderId="4" xfId="0" applyFont="1" applyFill="1" applyBorder="1" applyAlignment="1" applyProtection="1">
      <alignment vertical="center" wrapText="1"/>
      <protection locked="0"/>
    </xf>
    <xf numFmtId="0" fontId="2" fillId="8" borderId="2" xfId="0" applyFont="1" applyFill="1" applyBorder="1" applyAlignment="1" applyProtection="1">
      <alignment horizontal="center" vertical="center"/>
      <protection locked="0"/>
    </xf>
    <xf numFmtId="0" fontId="6" fillId="8" borderId="3" xfId="0" applyFont="1" applyFill="1" applyBorder="1" applyAlignment="1" applyProtection="1">
      <alignment vertical="center" wrapText="1"/>
      <protection locked="0"/>
    </xf>
    <xf numFmtId="0" fontId="2" fillId="4" borderId="0" xfId="0" applyFont="1" applyFill="1"/>
    <xf numFmtId="0" fontId="7" fillId="4" borderId="0" xfId="0" applyFont="1" applyFill="1" applyAlignment="1">
      <alignment vertical="center"/>
    </xf>
    <xf numFmtId="0" fontId="8" fillId="12" borderId="5" xfId="0" applyFont="1" applyFill="1" applyBorder="1" applyAlignment="1">
      <alignment horizontal="center"/>
    </xf>
    <xf numFmtId="0" fontId="2" fillId="4" borderId="5" xfId="0" applyFont="1" applyFill="1" applyBorder="1" applyAlignment="1">
      <alignment wrapText="1"/>
    </xf>
    <xf numFmtId="0" fontId="9" fillId="12" borderId="5" xfId="0" applyFont="1" applyFill="1" applyBorder="1" applyAlignment="1">
      <alignment horizontal="center"/>
    </xf>
    <xf numFmtId="0" fontId="2" fillId="4" borderId="5" xfId="0" applyFont="1" applyFill="1" applyBorder="1" applyAlignment="1">
      <alignment vertical="top" wrapText="1"/>
    </xf>
    <xf numFmtId="0" fontId="3" fillId="4" borderId="0" xfId="0" applyFont="1" applyFill="1"/>
    <xf numFmtId="0" fontId="9" fillId="4" borderId="0" xfId="0" applyFont="1" applyFill="1" applyAlignment="1">
      <alignment horizontal="center"/>
    </xf>
    <xf numFmtId="0" fontId="2" fillId="4" borderId="0" xfId="0" applyFont="1" applyFill="1" applyAlignment="1">
      <alignment wrapText="1"/>
    </xf>
    <xf numFmtId="1" fontId="2" fillId="7" borderId="2" xfId="0" applyNumberFormat="1" applyFont="1" applyFill="1" applyBorder="1" applyAlignment="1" applyProtection="1">
      <alignment horizontal="center" vertical="center"/>
      <protection locked="0"/>
    </xf>
    <xf numFmtId="1" fontId="2" fillId="8" borderId="2" xfId="0" applyNumberFormat="1" applyFont="1" applyFill="1" applyBorder="1" applyAlignment="1" applyProtection="1">
      <alignment horizontal="center" vertical="center"/>
      <protection locked="0"/>
    </xf>
    <xf numFmtId="0" fontId="9" fillId="4" borderId="0" xfId="0" applyFont="1" applyFill="1" applyAlignment="1" applyProtection="1">
      <alignment horizontal="center"/>
    </xf>
    <xf numFmtId="0" fontId="10" fillId="4" borderId="0" xfId="0" applyFont="1" applyFill="1" applyAlignment="1" applyProtection="1">
      <alignment horizontal="center" vertical="center"/>
    </xf>
    <xf numFmtId="0" fontId="10" fillId="4" borderId="0" xfId="0" applyFont="1" applyFill="1" applyAlignment="1" applyProtection="1">
      <alignment horizontal="center"/>
    </xf>
    <xf numFmtId="0" fontId="2" fillId="4" borderId="0" xfId="0" applyFont="1" applyFill="1" applyAlignment="1" applyProtection="1">
      <alignment horizontal="center"/>
    </xf>
    <xf numFmtId="0" fontId="12" fillId="4" borderId="0" xfId="0" applyFont="1" applyFill="1" applyAlignment="1" applyProtection="1">
      <alignment horizontal="left"/>
    </xf>
    <xf numFmtId="0" fontId="13" fillId="10" borderId="0" xfId="0" applyFont="1" applyFill="1" applyAlignment="1" applyProtection="1">
      <alignment horizontal="center" vertical="center" wrapText="1"/>
    </xf>
    <xf numFmtId="0" fontId="2" fillId="7" borderId="2" xfId="0" applyFont="1" applyFill="1" applyBorder="1" applyAlignment="1" applyProtection="1">
      <alignment horizontal="center" vertical="center"/>
    </xf>
    <xf numFmtId="0" fontId="2" fillId="4" borderId="0" xfId="0" applyFont="1" applyFill="1" applyProtection="1"/>
    <xf numFmtId="0" fontId="13" fillId="10" borderId="0" xfId="0" applyFont="1" applyFill="1" applyAlignment="1" applyProtection="1">
      <alignment vertical="center" wrapText="1"/>
    </xf>
    <xf numFmtId="0" fontId="6" fillId="7" borderId="2" xfId="0" applyFont="1" applyFill="1" applyBorder="1" applyAlignment="1" applyProtection="1">
      <alignment vertical="center" wrapText="1"/>
    </xf>
    <xf numFmtId="1" fontId="2" fillId="7" borderId="2" xfId="0" applyNumberFormat="1" applyFont="1" applyFill="1" applyBorder="1" applyAlignment="1" applyProtection="1">
      <alignment horizontal="center" vertical="center"/>
    </xf>
    <xf numFmtId="0" fontId="2" fillId="7" borderId="3" xfId="0" applyFont="1" applyFill="1" applyBorder="1" applyAlignment="1" applyProtection="1">
      <alignment horizontal="center" vertical="center"/>
    </xf>
    <xf numFmtId="0" fontId="6" fillId="7" borderId="4" xfId="0" applyFont="1" applyFill="1" applyBorder="1" applyAlignment="1" applyProtection="1">
      <alignment vertical="center" wrapText="1"/>
    </xf>
    <xf numFmtId="1" fontId="2" fillId="8" borderId="2" xfId="0" applyNumberFormat="1" applyFont="1" applyFill="1" applyBorder="1" applyAlignment="1" applyProtection="1">
      <alignment horizontal="center" vertical="center"/>
    </xf>
    <xf numFmtId="0" fontId="2" fillId="0" borderId="0" xfId="0" applyFont="1" applyAlignment="1" applyProtection="1">
      <alignment horizontal="center"/>
    </xf>
    <xf numFmtId="0" fontId="2" fillId="8" borderId="2" xfId="0" applyFont="1" applyFill="1" applyBorder="1" applyAlignment="1" applyProtection="1">
      <alignment horizontal="center" vertical="center"/>
    </xf>
    <xf numFmtId="0" fontId="6" fillId="8" borderId="3" xfId="0" applyFont="1" applyFill="1" applyBorder="1" applyAlignment="1" applyProtection="1">
      <alignment vertical="center" wrapText="1"/>
    </xf>
    <xf numFmtId="0" fontId="2" fillId="4" borderId="0" xfId="0" applyFont="1" applyFill="1" applyAlignment="1" applyProtection="1">
      <alignment horizontal="center"/>
      <protection locked="0"/>
    </xf>
    <xf numFmtId="0" fontId="2" fillId="4" borderId="0" xfId="0" applyFont="1" applyFill="1" applyProtection="1">
      <protection locked="0"/>
    </xf>
    <xf numFmtId="0" fontId="13" fillId="10" borderId="0" xfId="0" applyFont="1" applyFill="1" applyAlignment="1" applyProtection="1">
      <alignment horizontal="left" vertical="center"/>
    </xf>
    <xf numFmtId="0" fontId="6" fillId="8" borderId="0" xfId="0" applyFont="1" applyFill="1" applyAlignment="1" applyProtection="1">
      <alignment horizontal="left" vertical="top" wrapText="1"/>
    </xf>
    <xf numFmtId="0" fontId="11" fillId="4" borderId="0" xfId="0" applyFont="1" applyFill="1" applyAlignment="1" applyProtection="1">
      <alignment horizontal="left" vertical="center"/>
    </xf>
    <xf numFmtId="0" fontId="6" fillId="8" borderId="0" xfId="0" applyFont="1" applyFill="1" applyAlignment="1" applyProtection="1">
      <alignment horizontal="left" vertical="top" wrapText="1"/>
      <protection locked="0"/>
    </xf>
  </cellXfs>
  <cellStyles count="1">
    <cellStyle name="Standaard" xfId="0" builtinId="0"/>
  </cellStyles>
  <dxfs count="20">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
  <sheetViews>
    <sheetView zoomScale="10" zoomScaleNormal="10" workbookViewId="0">
      <selection activeCell="D12" sqref="D12"/>
    </sheetView>
  </sheetViews>
  <sheetFormatPr defaultRowHeight="14.45"/>
  <sheetData>
    <row r="1" spans="1:9">
      <c r="A1" s="1" t="s">
        <v>0</v>
      </c>
      <c r="G1" t="s">
        <v>1</v>
      </c>
      <c r="H1" t="s">
        <v>2</v>
      </c>
      <c r="I1" t="s">
        <v>3</v>
      </c>
    </row>
    <row r="2" spans="1:9">
      <c r="A2" s="3"/>
      <c r="B2" t="s">
        <v>4</v>
      </c>
      <c r="G2" t="s">
        <v>5</v>
      </c>
      <c r="H2" t="s">
        <v>5</v>
      </c>
      <c r="I2" t="s">
        <v>5</v>
      </c>
    </row>
    <row r="3" spans="1:9">
      <c r="A3" s="5"/>
      <c r="B3" t="s">
        <v>6</v>
      </c>
      <c r="G3">
        <v>1</v>
      </c>
      <c r="H3" t="s">
        <v>7</v>
      </c>
      <c r="I3" t="s">
        <v>8</v>
      </c>
    </row>
    <row r="4" spans="1:9">
      <c r="A4" s="10"/>
      <c r="B4" t="s">
        <v>9</v>
      </c>
      <c r="G4">
        <v>2</v>
      </c>
      <c r="H4" t="s">
        <v>10</v>
      </c>
      <c r="I4" t="s">
        <v>11</v>
      </c>
    </row>
    <row r="5" spans="1:9">
      <c r="A5" s="14" t="s">
        <v>12</v>
      </c>
      <c r="B5" t="s">
        <v>13</v>
      </c>
      <c r="G5">
        <v>3</v>
      </c>
      <c r="H5" t="s">
        <v>14</v>
      </c>
    </row>
    <row r="6" spans="1:9">
      <c r="A6" s="13" t="s">
        <v>15</v>
      </c>
      <c r="B6" t="s">
        <v>16</v>
      </c>
      <c r="G6">
        <v>4</v>
      </c>
      <c r="H6" t="s">
        <v>17</v>
      </c>
    </row>
    <row r="7" spans="1:9">
      <c r="A7" s="16"/>
      <c r="B7" t="s">
        <v>18</v>
      </c>
      <c r="H7" t="s">
        <v>19</v>
      </c>
    </row>
    <row r="8" spans="1:9">
      <c r="A8" s="17"/>
      <c r="B8" t="s">
        <v>20</v>
      </c>
    </row>
    <row r="9" spans="1:9">
      <c r="A9" s="19"/>
      <c r="B9" t="s">
        <v>21</v>
      </c>
    </row>
    <row r="10" spans="1:9" ht="15.75" customHeight="1">
      <c r="A10" s="22"/>
      <c r="B10" t="s">
        <v>22</v>
      </c>
    </row>
    <row r="11" spans="1:9" ht="15.75" customHeight="1">
      <c r="A11" s="20"/>
      <c r="B11" t="s">
        <v>23</v>
      </c>
    </row>
    <row r="12" spans="1:9">
      <c r="A12" s="21" t="s">
        <v>24</v>
      </c>
      <c r="B12" t="s">
        <v>24</v>
      </c>
    </row>
  </sheetData>
  <sheetProtection algorithmName="SHA-512" hashValue="WOf0LQsboE6wZUxhTrp6vWUPTX/PxW+vApAM6zdPOcGfqvqNuFNYmJEfEBPc31Vp+JEs0x9YELJOz7LGwIuUbA==" saltValue="ss5ASBCr8o3o1bhwu9U1Vw==" spinCount="100000" sheet="1" objects="1" scenarios="1" formatCells="0" formatColumns="0" formatRows="0" insertColumns="0" insertRows="0" insertHyperlinks="0" deleteColumns="0" deleteRows="0" selectLockedCells="1" sort="0" autoFilter="0" pivotTables="0"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1"/>
  <sheetViews>
    <sheetView zoomScale="160" zoomScaleNormal="160" workbookViewId="0">
      <selection activeCell="A2" sqref="A2"/>
    </sheetView>
  </sheetViews>
  <sheetFormatPr defaultRowHeight="14.45"/>
  <cols>
    <col min="1" max="1" width="3.28515625" style="8" customWidth="1"/>
    <col min="2" max="2" width="95.140625" style="8" customWidth="1"/>
    <col min="3" max="3" width="9.140625" style="8" customWidth="1"/>
  </cols>
  <sheetData>
    <row r="1" spans="1:3">
      <c r="A1" s="29"/>
      <c r="B1" s="33" t="s">
        <v>25</v>
      </c>
      <c r="C1" s="29"/>
    </row>
    <row r="2" spans="1:3" ht="74.25" customHeight="1">
      <c r="A2" s="29"/>
      <c r="B2" s="34" t="s">
        <v>26</v>
      </c>
      <c r="C2" s="29"/>
    </row>
    <row r="3" spans="1:3">
      <c r="A3" s="29"/>
      <c r="B3" s="31" t="s">
        <v>27</v>
      </c>
      <c r="C3" s="29"/>
    </row>
    <row r="4" spans="1:3" ht="106.5" customHeight="1">
      <c r="A4" s="29"/>
      <c r="B4" s="34" t="s">
        <v>28</v>
      </c>
      <c r="C4" s="29"/>
    </row>
    <row r="5" spans="1:3">
      <c r="A5" s="29"/>
      <c r="B5" s="31" t="s">
        <v>29</v>
      </c>
      <c r="C5" s="29"/>
    </row>
    <row r="6" spans="1:3" ht="161.25" customHeight="1">
      <c r="A6" s="29"/>
      <c r="B6" s="34" t="s">
        <v>30</v>
      </c>
      <c r="C6" s="29"/>
    </row>
    <row r="7" spans="1:3">
      <c r="A7" s="29"/>
      <c r="B7" s="33" t="s">
        <v>31</v>
      </c>
      <c r="C7" s="29"/>
    </row>
    <row r="8" spans="1:3" ht="107.25" customHeight="1">
      <c r="A8" s="29"/>
      <c r="B8" s="34" t="s">
        <v>32</v>
      </c>
      <c r="C8" s="29"/>
    </row>
    <row r="9" spans="1:3">
      <c r="A9" s="29"/>
      <c r="B9" s="31" t="s">
        <v>33</v>
      </c>
      <c r="C9" s="29"/>
    </row>
    <row r="10" spans="1:3" ht="34.5" customHeight="1">
      <c r="A10" s="30" t="s">
        <v>34</v>
      </c>
      <c r="B10" s="32" t="s">
        <v>35</v>
      </c>
      <c r="C10" s="29"/>
    </row>
    <row r="11" spans="1:3" s="29" customFormat="1" ht="67.5" customHeight="1">
      <c r="A11" s="30" t="s">
        <v>34</v>
      </c>
      <c r="B11" s="32" t="s">
        <v>36</v>
      </c>
    </row>
    <row r="12" spans="1:3" ht="51.75" customHeight="1">
      <c r="A12" s="30" t="s">
        <v>34</v>
      </c>
      <c r="B12" s="32" t="s">
        <v>37</v>
      </c>
      <c r="C12" s="29"/>
    </row>
    <row r="13" spans="1:3" ht="34.5" customHeight="1">
      <c r="A13" s="30" t="s">
        <v>34</v>
      </c>
      <c r="B13" s="32" t="s">
        <v>38</v>
      </c>
      <c r="C13" s="29"/>
    </row>
    <row r="14" spans="1:3" ht="34.5" customHeight="1">
      <c r="A14" s="30" t="s">
        <v>34</v>
      </c>
      <c r="B14" s="37" t="s">
        <v>39</v>
      </c>
      <c r="C14" s="29"/>
    </row>
    <row r="15" spans="1:3" ht="25.5" customHeight="1">
      <c r="A15" s="30" t="s">
        <v>34</v>
      </c>
      <c r="B15" s="37" t="s">
        <v>40</v>
      </c>
      <c r="C15" s="29"/>
    </row>
    <row r="16" spans="1:3">
      <c r="A16" s="29"/>
      <c r="B16" s="37"/>
      <c r="C16" s="29"/>
    </row>
    <row r="17" spans="1:3">
      <c r="A17" s="29"/>
      <c r="B17" s="37"/>
      <c r="C17" s="29"/>
    </row>
    <row r="18" spans="1:3">
      <c r="A18" s="29"/>
      <c r="B18" s="37"/>
      <c r="C18" s="29"/>
    </row>
    <row r="19" spans="1:3">
      <c r="A19" s="29"/>
      <c r="B19" s="37"/>
      <c r="C19" s="29"/>
    </row>
    <row r="20" spans="1:3">
      <c r="A20" s="29"/>
      <c r="B20" s="37"/>
      <c r="C20" s="29"/>
    </row>
    <row r="21" spans="1:3">
      <c r="A21" s="29"/>
      <c r="B21" s="37"/>
      <c r="C21" s="29"/>
    </row>
    <row r="22" spans="1:3">
      <c r="A22" s="29"/>
      <c r="B22" s="37"/>
      <c r="C22" s="29"/>
    </row>
    <row r="23" spans="1:3">
      <c r="A23" s="29"/>
      <c r="B23" s="37"/>
      <c r="C23" s="29"/>
    </row>
    <row r="24" spans="1:3">
      <c r="A24" s="29"/>
      <c r="B24" s="37"/>
      <c r="C24" s="29"/>
    </row>
    <row r="25" spans="1:3">
      <c r="A25" s="29"/>
      <c r="B25" s="37"/>
      <c r="C25" s="29"/>
    </row>
    <row r="26" spans="1:3">
      <c r="A26" s="29"/>
      <c r="B26" s="37"/>
      <c r="C26" s="29"/>
    </row>
    <row r="27" spans="1:3">
      <c r="A27" s="29"/>
      <c r="B27" s="37"/>
      <c r="C27" s="29"/>
    </row>
    <row r="28" spans="1:3">
      <c r="A28" s="29"/>
      <c r="B28" s="37"/>
      <c r="C28" s="29"/>
    </row>
    <row r="29" spans="1:3">
      <c r="A29" s="29"/>
      <c r="B29" s="37"/>
      <c r="C29" s="29"/>
    </row>
    <row r="30" spans="1:3">
      <c r="A30" s="29"/>
      <c r="B30" s="37"/>
      <c r="C30" s="29"/>
    </row>
    <row r="31" spans="1:3">
      <c r="A31" s="29"/>
      <c r="B31" s="37"/>
      <c r="C31" s="29"/>
    </row>
  </sheetData>
  <sheetProtection algorithmName="SHA-512" hashValue="d3VswOBugDSEcxizlCATwXTFi6niRv28FXqfpcai5ufO11YVowrXNjWqvWMa6vNZE7UYAIjZmiJwrdm2DCGv8g==" saltValue="ZguTsVH23F+wBjJXMNYuDw==" spinCount="100000" sheet="1" objects="1" scenarios="1" formatCells="0" formatColumns="0" formatRows="0" insertColumns="0" insertRows="0" insertHyperlinks="0" deleteColumns="0" deleteRows="0" sort="0" autoFilter="0" pivotTables="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38"/>
  <sheetViews>
    <sheetView tabSelected="1" zoomScale="85" zoomScaleNormal="85" workbookViewId="0">
      <pane ySplit="2" topLeftCell="F16" activePane="bottomLeft" state="frozen"/>
      <selection pane="bottomLeft" activeCell="H19" sqref="H19"/>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1" t="str">
        <f ca="1">IF(B14&gt;6,"verouderd PTA",CONCATENATE("Dit is het programma van de huidige ",B6,B14," (cohort ",B7," - ",B9,")"))</f>
        <v>Dit is het programma van de huidige M3 (cohort 2020 - 2021)</v>
      </c>
      <c r="H2" s="61"/>
      <c r="I2" s="61"/>
      <c r="J2" s="61"/>
      <c r="K2" s="61"/>
      <c r="L2" s="61"/>
      <c r="M2" s="61"/>
      <c r="N2" s="43"/>
      <c r="O2" s="54"/>
      <c r="P2" s="47"/>
      <c r="Q2" s="47"/>
    </row>
    <row r="3" spans="1:32" hidden="1">
      <c r="A3" s="9" t="s">
        <v>44</v>
      </c>
      <c r="B3" s="4">
        <v>0</v>
      </c>
      <c r="F3" s="40"/>
      <c r="G3" s="43"/>
      <c r="H3" s="47"/>
      <c r="I3" s="43"/>
      <c r="J3" s="43"/>
      <c r="K3" s="47"/>
      <c r="L3" s="43"/>
      <c r="M3" s="43"/>
      <c r="N3" s="43"/>
      <c r="O3" s="43"/>
      <c r="P3" s="47"/>
      <c r="Q3" s="47"/>
    </row>
    <row r="4" spans="1:32" ht="30" hidden="1" customHeight="1">
      <c r="A4" s="9" t="s">
        <v>45</v>
      </c>
      <c r="B4" s="2" t="s">
        <v>46</v>
      </c>
      <c r="C4" s="9" t="s">
        <v>47</v>
      </c>
      <c r="D4" s="2"/>
      <c r="F4" s="40"/>
      <c r="G4" s="44" t="str">
        <f>CONCATENATE(B4," leerlaag ",B6,B15," (schooljaar ",B7," - ",B7+1,")")</f>
        <v>BTE leerlaag M3 (schooljaar 2020 - 2021)</v>
      </c>
      <c r="H4" s="47"/>
      <c r="I4" s="43"/>
      <c r="J4" s="43"/>
      <c r="K4" s="47"/>
      <c r="L4" s="43"/>
      <c r="M4" s="43"/>
      <c r="N4" s="43"/>
      <c r="O4" s="43"/>
      <c r="P4" s="47"/>
      <c r="Q4" s="47"/>
    </row>
    <row r="5" spans="1:32" ht="34.5" hidden="1" customHeight="1">
      <c r="A5" s="9" t="s">
        <v>48</v>
      </c>
      <c r="B5" s="2">
        <v>27</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hidden="1" customHeight="1">
      <c r="A6" s="9" t="s">
        <v>61</v>
      </c>
      <c r="B6" s="2" t="s">
        <v>62</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hidden="1" customHeight="1">
      <c r="A7" s="9" t="s">
        <v>63</v>
      </c>
      <c r="B7" s="2">
        <v>2020</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hidden="1" customHeight="1">
      <c r="A8" s="9" t="s">
        <v>64</v>
      </c>
      <c r="B8" s="2">
        <v>300</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hidden="1" customHeight="1">
      <c r="A9" s="9" t="s">
        <v>65</v>
      </c>
      <c r="B9" s="4">
        <f>IF(B6="A",B7+3,IF(B6="H",B7+2,B7+1))</f>
        <v>2021</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hidden="1" customHeight="1">
      <c r="A10" s="9" t="s">
        <v>66</v>
      </c>
      <c r="B10" s="6">
        <f ca="1">NOW()</f>
        <v>44354.521960995371</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hidden="1" customHeight="1">
      <c r="A11" s="9" t="s">
        <v>67</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hidden="1">
      <c r="A12" s="9" t="s">
        <v>68</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hidden="1">
      <c r="A13" s="9" t="s">
        <v>69</v>
      </c>
      <c r="B13" s="4">
        <f ca="1">B7-B11</f>
        <v>0</v>
      </c>
      <c r="C13" s="9" t="s">
        <v>47</v>
      </c>
      <c r="D13" s="2">
        <v>722</v>
      </c>
      <c r="F13" s="40"/>
      <c r="G13" s="59" t="str">
        <f>CONCATENATE("Algemene opmerkingen bij het jaarprogramma van  ",G4)</f>
        <v>Algemene opmerkingen bij het jaarprogramma van  BTE leerlaag M3 (schooljaar 2020 - 2021)</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hidden="1" customHeight="1">
      <c r="A14" s="9" t="s">
        <v>70</v>
      </c>
      <c r="B14" s="7">
        <f ca="1">B15+B11-B7</f>
        <v>3</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hidden="1">
      <c r="A15" s="9" t="s">
        <v>71</v>
      </c>
      <c r="B15" s="7">
        <f>IF(B6="M",3,4)</f>
        <v>3</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BTE leerlaag M4 (schooljaar 2021 - 2022)</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1098</v>
      </c>
      <c r="E18" s="2"/>
      <c r="F18" s="40"/>
      <c r="G18" s="23">
        <v>1</v>
      </c>
      <c r="H18" s="24" t="s">
        <v>72</v>
      </c>
      <c r="I18" s="38"/>
      <c r="J18" s="25" t="s">
        <v>19</v>
      </c>
      <c r="K18" s="26"/>
      <c r="L18" s="38"/>
      <c r="M18" s="23" t="s">
        <v>8</v>
      </c>
      <c r="N18" s="39">
        <v>3</v>
      </c>
      <c r="O18" s="27" t="s">
        <v>11</v>
      </c>
      <c r="P18" s="28" t="s">
        <v>73</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1099</v>
      </c>
      <c r="E19" s="2"/>
      <c r="F19" s="40"/>
      <c r="G19" s="23">
        <v>1</v>
      </c>
      <c r="H19" s="24" t="s">
        <v>74</v>
      </c>
      <c r="I19" s="38"/>
      <c r="J19" s="25" t="s">
        <v>7</v>
      </c>
      <c r="K19" s="26"/>
      <c r="L19" s="38">
        <v>50</v>
      </c>
      <c r="M19" s="23" t="s">
        <v>8</v>
      </c>
      <c r="N19" s="39">
        <v>1</v>
      </c>
      <c r="O19" s="27" t="s">
        <v>8</v>
      </c>
      <c r="P19" s="28" t="s">
        <v>75</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1100</v>
      </c>
      <c r="E20" s="2"/>
      <c r="F20" s="40"/>
      <c r="G20" s="23">
        <v>2</v>
      </c>
      <c r="H20" s="24" t="s">
        <v>76</v>
      </c>
      <c r="I20" s="38"/>
      <c r="J20" s="25" t="s">
        <v>19</v>
      </c>
      <c r="K20" s="26"/>
      <c r="L20" s="38"/>
      <c r="M20" s="23" t="s">
        <v>8</v>
      </c>
      <c r="N20" s="39">
        <v>3</v>
      </c>
      <c r="O20" s="27" t="s">
        <v>11</v>
      </c>
      <c r="P20" s="28" t="s">
        <v>73</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1101</v>
      </c>
      <c r="E21" s="2"/>
      <c r="F21" s="40"/>
      <c r="G21" s="23">
        <v>2</v>
      </c>
      <c r="H21" s="24" t="s">
        <v>77</v>
      </c>
      <c r="I21" s="38"/>
      <c r="J21" s="25" t="s">
        <v>7</v>
      </c>
      <c r="K21" s="26"/>
      <c r="L21" s="38">
        <v>50</v>
      </c>
      <c r="M21" s="23" t="s">
        <v>8</v>
      </c>
      <c r="N21" s="39">
        <v>1</v>
      </c>
      <c r="O21" s="27" t="s">
        <v>8</v>
      </c>
      <c r="P21" s="28" t="s">
        <v>75</v>
      </c>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v>1102</v>
      </c>
      <c r="E22" s="2"/>
      <c r="F22" s="40"/>
      <c r="G22" s="23">
        <v>3</v>
      </c>
      <c r="H22" s="24" t="s">
        <v>78</v>
      </c>
      <c r="I22" s="38"/>
      <c r="J22" s="25" t="s">
        <v>19</v>
      </c>
      <c r="K22" s="26"/>
      <c r="L22" s="38"/>
      <c r="M22" s="23" t="s">
        <v>8</v>
      </c>
      <c r="N22" s="39">
        <v>3</v>
      </c>
      <c r="O22" s="27" t="s">
        <v>11</v>
      </c>
      <c r="P22" s="28" t="s">
        <v>73</v>
      </c>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v>1103</v>
      </c>
      <c r="E23" s="2"/>
      <c r="F23" s="40"/>
      <c r="G23" s="23">
        <v>3</v>
      </c>
      <c r="H23" s="24" t="s">
        <v>79</v>
      </c>
      <c r="I23" s="38"/>
      <c r="J23" s="25" t="s">
        <v>7</v>
      </c>
      <c r="K23" s="26"/>
      <c r="L23" s="38">
        <v>50</v>
      </c>
      <c r="M23" s="23" t="s">
        <v>8</v>
      </c>
      <c r="N23" s="39">
        <v>1</v>
      </c>
      <c r="O23" s="27" t="s">
        <v>8</v>
      </c>
      <c r="P23" s="28" t="s">
        <v>75</v>
      </c>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723</v>
      </c>
      <c r="F25" s="40"/>
      <c r="G25" s="59" t="str">
        <f>CONCATENATE("Algemene opmerkingen bij het jaarprogramma van  ",G16)</f>
        <v>Algemene opmerkingen bij het jaarprogramma van  BTE leerlaag M4 (schooljaar 2021 - 2022)</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2"/>
      <c r="H26" s="62"/>
      <c r="I26" s="62"/>
      <c r="J26" s="62"/>
      <c r="K26" s="62"/>
      <c r="L26" s="62"/>
      <c r="M26" s="62"/>
      <c r="N26" s="57"/>
      <c r="O26" s="57"/>
      <c r="P26" s="58"/>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BTE leerlaag M5 (schooljaar 2022 - 2021)</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BTE leerlaag M5 (schooljaar 2022 - 2021)</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19" priority="1">
      <formula>ISBLANK($J6)</formula>
    </cfRule>
  </conditionalFormatting>
  <conditionalFormatting sqref="J18:J23">
    <cfRule type="expression" dxfId="18" priority="2">
      <formula>ISBLANK($J18)</formula>
    </cfRule>
  </conditionalFormatting>
  <conditionalFormatting sqref="J30:J35">
    <cfRule type="expression" dxfId="17" priority="3">
      <formula>ISBLANK($J30)</formula>
    </cfRule>
  </conditionalFormatting>
  <conditionalFormatting sqref="M6:M11">
    <cfRule type="expression" dxfId="16" priority="4">
      <formula>ISBLANK($M6)</formula>
    </cfRule>
  </conditionalFormatting>
  <conditionalFormatting sqref="M18:M23">
    <cfRule type="expression" dxfId="15" priority="5">
      <formula>ISBLANK($M18)</formula>
    </cfRule>
  </conditionalFormatting>
  <conditionalFormatting sqref="M30:M35">
    <cfRule type="expression" dxfId="14" priority="6">
      <formula>ISBLANK($M30)</formula>
    </cfRule>
  </conditionalFormatting>
  <conditionalFormatting sqref="O6:O11">
    <cfRule type="expression" dxfId="13" priority="7">
      <formula>ISBLANK($O6)</formula>
    </cfRule>
  </conditionalFormatting>
  <conditionalFormatting sqref="O18:O23">
    <cfRule type="expression" dxfId="12" priority="8">
      <formula>ISBLANK($O18)</formula>
    </cfRule>
  </conditionalFormatting>
  <conditionalFormatting sqref="O30:O35">
    <cfRule type="expression" dxfId="11" priority="9">
      <formula>ISBLANK($O30)</formula>
    </cfRule>
  </conditionalFormatting>
  <conditionalFormatting sqref="R6:AE35">
    <cfRule type="cellIs" dxfId="10" priority="10" operator="equal">
      <formula>1</formula>
    </cfRule>
  </conditionalFormatting>
  <dataValidations count="1">
    <dataValidation type="whole" allowBlank="1" showInputMessage="1" showErrorMessage="1" sqref="I6:I11 N30:N35 N18:N23 N6:N11 L30:L35 L18:L23 L6:L11 I30:I35 I18:I23" xr:uid="{00000000-0002-0000-02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200-000000000000}">
          <x14:formula1>
            <xm:f>instellingen!$G$2:$G$6</xm:f>
          </x14:formula1>
          <xm:sqref>G6:G11 G30:G35 G18:G23</xm:sqref>
        </x14:dataValidation>
        <x14:dataValidation type="list" errorStyle="information" showInputMessage="1" showErrorMessage="1" errorTitle="ERROR" error="ongeldige waarde" xr:uid="{00000000-0002-0000-0200-000006000000}">
          <x14:formula1>
            <xm:f>instellingen!$H$2:$H$7</xm:f>
          </x14:formula1>
          <xm:sqref>J6:J11 J30:J35 J18:J23</xm:sqref>
        </x14:dataValidation>
        <x14:dataValidation type="list" errorStyle="information" showInputMessage="1" showErrorMessage="1" errorTitle="ERROR" error="ongeldige waarde" xr:uid="{00000000-0002-0000-0200-00000C000000}">
          <x14:formula1>
            <xm:f>instellingen!$I$2:$I$4</xm:f>
          </x14:formula1>
          <xm:sqref>M6:M11 O30:O35 O18:O23 O6:O11 M30:M35 M18:M23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38"/>
  <sheetViews>
    <sheetView zoomScale="85" zoomScaleNormal="85" workbookViewId="0">
      <pane ySplit="2" topLeftCell="A3" activePane="bottomLeft" state="frozen"/>
      <selection pane="bottomLeft" activeCell="Q38" sqref="Q3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1" t="str">
        <f ca="1">IF(B14&gt;6,"verouderd PTA",CONCATENATE("Dit is het programma van de huidige ",B6,B14," (cohort ",B7," - ",B9,")"))</f>
        <v>Dit is het programma van de huidige M4 (cohort 2019 - 2020)</v>
      </c>
      <c r="H2" s="61"/>
      <c r="I2" s="61"/>
      <c r="J2" s="61"/>
      <c r="K2" s="61"/>
      <c r="L2" s="61"/>
      <c r="M2" s="61"/>
      <c r="N2" s="43"/>
      <c r="O2" s="54"/>
      <c r="P2" s="47"/>
      <c r="Q2" s="47"/>
    </row>
    <row r="3" spans="1:32" hidden="1">
      <c r="A3" s="9" t="s">
        <v>44</v>
      </c>
      <c r="B3" s="4">
        <v>0</v>
      </c>
      <c r="F3" s="40"/>
      <c r="G3" s="43"/>
      <c r="H3" s="47"/>
      <c r="I3" s="43"/>
      <c r="J3" s="43"/>
      <c r="K3" s="47"/>
      <c r="L3" s="43"/>
      <c r="M3" s="43"/>
      <c r="N3" s="43"/>
      <c r="O3" s="43"/>
      <c r="P3" s="47"/>
      <c r="Q3" s="47"/>
    </row>
    <row r="4" spans="1:32" ht="30" hidden="1" customHeight="1">
      <c r="A4" s="9" t="s">
        <v>45</v>
      </c>
      <c r="B4" s="2" t="s">
        <v>46</v>
      </c>
      <c r="C4" s="9" t="s">
        <v>47</v>
      </c>
      <c r="D4" s="2"/>
      <c r="F4" s="40"/>
      <c r="G4" s="44" t="str">
        <f>CONCATENATE(B4," leerlaag ",B6,B15," (schooljaar ",B7," - ",B7+1,")")</f>
        <v>BTE leerlaag M3 (schooljaar 2019 - 2020)</v>
      </c>
      <c r="H4" s="47"/>
      <c r="I4" s="43"/>
      <c r="J4" s="43"/>
      <c r="K4" s="47"/>
      <c r="L4" s="43"/>
      <c r="M4" s="43"/>
      <c r="N4" s="43"/>
      <c r="O4" s="43"/>
      <c r="P4" s="47"/>
      <c r="Q4" s="47"/>
    </row>
    <row r="5" spans="1:32" ht="34.5" hidden="1" customHeight="1">
      <c r="A5" s="9" t="s">
        <v>48</v>
      </c>
      <c r="B5" s="2">
        <v>27</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hidden="1" customHeight="1">
      <c r="A6" s="9" t="s">
        <v>61</v>
      </c>
      <c r="B6" s="2" t="s">
        <v>62</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hidden="1" customHeight="1">
      <c r="A7" s="9" t="s">
        <v>63</v>
      </c>
      <c r="B7" s="2">
        <v>2019</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hidden="1" customHeight="1">
      <c r="A8" s="9" t="s">
        <v>64</v>
      </c>
      <c r="B8" s="2">
        <v>85</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hidden="1" customHeight="1">
      <c r="A9" s="9" t="s">
        <v>65</v>
      </c>
      <c r="B9" s="4">
        <f>IF(B6="A",B7+3,IF(B6="H",B7+2,B7+1))</f>
        <v>2020</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hidden="1" customHeight="1">
      <c r="A10" s="9" t="s">
        <v>66</v>
      </c>
      <c r="B10" s="6">
        <f ca="1">NOW()</f>
        <v>44354.521960995371</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hidden="1" customHeight="1">
      <c r="A11" s="9" t="s">
        <v>67</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hidden="1">
      <c r="A12" s="9" t="s">
        <v>68</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hidden="1">
      <c r="A13" s="9" t="s">
        <v>69</v>
      </c>
      <c r="B13" s="4">
        <f ca="1">B7-B11</f>
        <v>-1</v>
      </c>
      <c r="C13" s="9" t="s">
        <v>47</v>
      </c>
      <c r="D13" s="2">
        <v>211</v>
      </c>
      <c r="F13" s="40"/>
      <c r="G13" s="59" t="str">
        <f>CONCATENATE("Algemene opmerkingen bij het jaarprogramma van  ",G4)</f>
        <v>Algemene opmerkingen bij het jaarprogramma van  BTE leerlaag M3 (schooljaar 2019 - 2020)</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hidden="1" customHeight="1">
      <c r="A14" s="9" t="s">
        <v>70</v>
      </c>
      <c r="B14" s="7">
        <f ca="1">B15+B11-B7</f>
        <v>4</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hidden="1">
      <c r="A15" s="9" t="s">
        <v>71</v>
      </c>
      <c r="B15" s="7">
        <f>IF(B6="M",3,4)</f>
        <v>3</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BTE leerlaag M4 (schooljaar 2020 - 2021)</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307</v>
      </c>
      <c r="E18" s="2"/>
      <c r="F18" s="40"/>
      <c r="G18" s="46">
        <v>1</v>
      </c>
      <c r="H18" s="49" t="s">
        <v>80</v>
      </c>
      <c r="I18" s="50"/>
      <c r="J18" s="51" t="s">
        <v>19</v>
      </c>
      <c r="K18" s="52"/>
      <c r="L18" s="50"/>
      <c r="M18" s="46" t="s">
        <v>8</v>
      </c>
      <c r="N18" s="53">
        <v>3</v>
      </c>
      <c r="O18" s="55" t="s">
        <v>11</v>
      </c>
      <c r="P18" s="56" t="s">
        <v>73</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308</v>
      </c>
      <c r="E19" s="2"/>
      <c r="F19" s="40"/>
      <c r="G19" s="46">
        <v>1</v>
      </c>
      <c r="H19" s="49" t="s">
        <v>74</v>
      </c>
      <c r="I19" s="50"/>
      <c r="J19" s="51" t="s">
        <v>7</v>
      </c>
      <c r="K19" s="52"/>
      <c r="L19" s="50">
        <v>50</v>
      </c>
      <c r="M19" s="46" t="s">
        <v>8</v>
      </c>
      <c r="N19" s="53">
        <v>1</v>
      </c>
      <c r="O19" s="55" t="s">
        <v>8</v>
      </c>
      <c r="P19" s="56" t="s">
        <v>75</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309</v>
      </c>
      <c r="E20" s="2"/>
      <c r="F20" s="40"/>
      <c r="G20" s="46">
        <v>2</v>
      </c>
      <c r="H20" s="49" t="s">
        <v>76</v>
      </c>
      <c r="I20" s="50"/>
      <c r="J20" s="51" t="s">
        <v>19</v>
      </c>
      <c r="K20" s="52"/>
      <c r="L20" s="50"/>
      <c r="M20" s="46" t="s">
        <v>8</v>
      </c>
      <c r="N20" s="53">
        <v>3</v>
      </c>
      <c r="O20" s="55" t="s">
        <v>11</v>
      </c>
      <c r="P20" s="56" t="s">
        <v>73</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310</v>
      </c>
      <c r="E21" s="2"/>
      <c r="F21" s="40"/>
      <c r="G21" s="46">
        <v>2</v>
      </c>
      <c r="H21" s="49" t="s">
        <v>77</v>
      </c>
      <c r="I21" s="50"/>
      <c r="J21" s="51" t="s">
        <v>7</v>
      </c>
      <c r="K21" s="52"/>
      <c r="L21" s="50">
        <v>50</v>
      </c>
      <c r="M21" s="46" t="s">
        <v>8</v>
      </c>
      <c r="N21" s="53">
        <v>1</v>
      </c>
      <c r="O21" s="55" t="s">
        <v>8</v>
      </c>
      <c r="P21" s="56" t="s">
        <v>75</v>
      </c>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v>311</v>
      </c>
      <c r="E22" s="2"/>
      <c r="F22" s="40"/>
      <c r="G22" s="46">
        <v>3</v>
      </c>
      <c r="H22" s="49" t="s">
        <v>78</v>
      </c>
      <c r="I22" s="50"/>
      <c r="J22" s="51" t="s">
        <v>19</v>
      </c>
      <c r="K22" s="52"/>
      <c r="L22" s="50"/>
      <c r="M22" s="46" t="s">
        <v>8</v>
      </c>
      <c r="N22" s="53">
        <v>3</v>
      </c>
      <c r="O22" s="55" t="s">
        <v>11</v>
      </c>
      <c r="P22" s="56" t="s">
        <v>73</v>
      </c>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v>312</v>
      </c>
      <c r="E23" s="2"/>
      <c r="F23" s="40"/>
      <c r="G23" s="46">
        <v>3</v>
      </c>
      <c r="H23" s="49" t="s">
        <v>79</v>
      </c>
      <c r="I23" s="50"/>
      <c r="J23" s="51" t="s">
        <v>7</v>
      </c>
      <c r="K23" s="52"/>
      <c r="L23" s="50">
        <v>50</v>
      </c>
      <c r="M23" s="46" t="s">
        <v>8</v>
      </c>
      <c r="N23" s="53">
        <v>1</v>
      </c>
      <c r="O23" s="55" t="s">
        <v>8</v>
      </c>
      <c r="P23" s="56" t="s">
        <v>75</v>
      </c>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212</v>
      </c>
      <c r="F25" s="40"/>
      <c r="G25" s="59" t="str">
        <f>CONCATENATE("Algemene opmerkingen bij het jaarprogramma van  ",G16)</f>
        <v>Algemene opmerkingen bij het jaarprogramma van  BTE leerlaag M4 (schooljaar 2020 - 2021)</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t="s">
        <v>81</v>
      </c>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BTE leerlaag M5 (schooljaar 2021 - 2020)</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BTE leerlaag M5 (schooljaar 2021 - 2020)</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9" priority="1">
      <formula>ISBLANK($J6)</formula>
    </cfRule>
  </conditionalFormatting>
  <conditionalFormatting sqref="J18:J23">
    <cfRule type="expression" dxfId="8" priority="2">
      <formula>ISBLANK($J18)</formula>
    </cfRule>
  </conditionalFormatting>
  <conditionalFormatting sqref="J30:J35">
    <cfRule type="expression" dxfId="7" priority="3">
      <formula>ISBLANK($J30)</formula>
    </cfRule>
  </conditionalFormatting>
  <conditionalFormatting sqref="M6:M11">
    <cfRule type="expression" dxfId="6" priority="4">
      <formula>ISBLANK($M6)</formula>
    </cfRule>
  </conditionalFormatting>
  <conditionalFormatting sqref="M18:M23">
    <cfRule type="expression" dxfId="5" priority="5">
      <formula>ISBLANK($M18)</formula>
    </cfRule>
  </conditionalFormatting>
  <conditionalFormatting sqref="M30:M35">
    <cfRule type="expression" dxfId="4" priority="6">
      <formula>ISBLANK($M30)</formula>
    </cfRule>
  </conditionalFormatting>
  <conditionalFormatting sqref="O6:O11">
    <cfRule type="expression" dxfId="3" priority="7">
      <formula>ISBLANK($O6)</formula>
    </cfRule>
  </conditionalFormatting>
  <conditionalFormatting sqref="O18:O23">
    <cfRule type="expression" dxfId="2" priority="8">
      <formula>ISBLANK($O18)</formula>
    </cfRule>
  </conditionalFormatting>
  <conditionalFormatting sqref="O30:O35">
    <cfRule type="expression" dxfId="1" priority="9">
      <formula>ISBLANK($O30)</formula>
    </cfRule>
  </conditionalFormatting>
  <conditionalFormatting sqref="R6:AE35">
    <cfRule type="cellIs" dxfId="0" priority="10" operator="equal">
      <formula>1</formula>
    </cfRule>
  </conditionalFormatting>
  <dataValidations count="1">
    <dataValidation type="whole" allowBlank="1" showInputMessage="1" showErrorMessage="1" sqref="I6:I11 N30:N35 N18:N23 N6:N11 L30:L35 L18:L23 L6:L11 I30:I35 I18:I23" xr:uid="{00000000-0002-0000-03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300-000000000000}">
          <x14:formula1>
            <xm:f>instellingen!$G$2:$G$6</xm:f>
          </x14:formula1>
          <xm:sqref>G6:G11 G30:G35 G18:G23</xm:sqref>
        </x14:dataValidation>
        <x14:dataValidation type="list" errorStyle="information" showInputMessage="1" showErrorMessage="1" errorTitle="ERROR" error="ongeldige waarde" xr:uid="{00000000-0002-0000-0300-000006000000}">
          <x14:formula1>
            <xm:f>instellingen!$H$2:$H$7</xm:f>
          </x14:formula1>
          <xm:sqref>J6:J11 J30:J35 J18:J23</xm:sqref>
        </x14:dataValidation>
        <x14:dataValidation type="list" errorStyle="information" showInputMessage="1" showErrorMessage="1" errorTitle="ERROR" error="ongeldige waarde" xr:uid="{00000000-0002-0000-0300-00000C000000}">
          <x14:formula1>
            <xm:f>instellingen!$I$2:$I$4</xm:f>
          </x14:formula1>
          <xm:sqref>M6:M11 O30:O35 O18:O23 O6:O11 M30:M35 M18:M23</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6E4FC6D1D8BEB4897925B804975E464" ma:contentTypeVersion="11" ma:contentTypeDescription="Create a new document." ma:contentTypeScope="" ma:versionID="2f4c844f49b69eee736f813a22d8de94">
  <xsd:schema xmlns:xsd="http://www.w3.org/2001/XMLSchema" xmlns:xs="http://www.w3.org/2001/XMLSchema" xmlns:p="http://schemas.microsoft.com/office/2006/metadata/properties" xmlns:ns2="712ff825-c25b-4fa7-980d-494c05af82bb" xmlns:ns3="c6d635e9-0601-4b5e-ad25-fb7c8926c588" targetNamespace="http://schemas.microsoft.com/office/2006/metadata/properties" ma:root="true" ma:fieldsID="f46293e76f6d1b28acbb6f6ff8d92fe2" ns2:_="" ns3:_="">
    <xsd:import namespace="712ff825-c25b-4fa7-980d-494c05af82bb"/>
    <xsd:import namespace="c6d635e9-0601-4b5e-ad25-fb7c8926c58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2ff825-c25b-4fa7-980d-494c05af82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6d635e9-0601-4b5e-ad25-fb7c8926c58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BA672BD-ECCF-43A5-8896-AE6F49CA4AE9}"/>
</file>

<file path=customXml/itemProps2.xml><?xml version="1.0" encoding="utf-8"?>
<ds:datastoreItem xmlns:ds="http://schemas.openxmlformats.org/officeDocument/2006/customXml" ds:itemID="{A6268ABF-3868-4E2B-8913-4A11C916A1E2}"/>
</file>

<file path=customXml/itemProps3.xml><?xml version="1.0" encoding="utf-8"?>
<ds:datastoreItem xmlns:ds="http://schemas.openxmlformats.org/officeDocument/2006/customXml" ds:itemID="{5970903B-13B0-403B-AC7E-143D50930E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xlsx-pta-generator</dc:title>
  <dc:subject>acomt pta cohorten</dc:subject>
  <dc:creator>VNR@acomt</dc:creator>
  <cp:keywords>acomt pta cohorten</cp:keywords>
  <dc:description>Dit bestand is eigendom van CSG Augustinus Groningen</dc:description>
  <cp:lastModifiedBy>Ballast, L.</cp:lastModifiedBy>
  <cp:revision/>
  <dcterms:created xsi:type="dcterms:W3CDTF">2015-06-05T18:19:34Z</dcterms:created>
  <dcterms:modified xsi:type="dcterms:W3CDTF">2021-06-07T10:32:11Z</dcterms:modified>
  <cp:category>internal usage only</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0x01010016E4FC6D1D8BEB4897925B804975E464</vt:lpwstr>
  </property>
</Properties>
</file>